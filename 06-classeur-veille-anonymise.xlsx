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Relevé hebdo" sheetId="1" state="visible" r:id="rId1"/>
    <sheet xmlns:r="http://schemas.openxmlformats.org/officeDocument/2006/relationships" name="Dashboard KPI (tendance)" sheetId="2" state="visible" r:id="rId2"/>
    <sheet xmlns:r="http://schemas.openxmlformats.org/officeDocument/2006/relationships" name="Comparatif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\+0.0%;\-0.0%;0.0%"/>
    <numFmt numFmtId="166" formatCode="\+0.0;\-0.0;0"/>
    <numFmt numFmtId="167" formatCode="\+0;\-0;0"/>
  </numFmts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9"/>
    </font>
    <font>
      <name val="Arial"/>
      <charset val="1"/>
      <b val="1"/>
      <sz val="10"/>
    </font>
    <font>
      <name val="Arial"/>
      <charset val="1"/>
      <i val="1"/>
      <color rgb="FF808080"/>
      <sz val="9"/>
    </font>
    <font>
      <name val="Arial"/>
      <charset val="1"/>
      <sz val="10"/>
    </font>
    <font>
      <name val="Arial"/>
      <charset val="1"/>
      <i val="1"/>
      <color rgb="FF9C0006"/>
      <sz val="9"/>
    </font>
    <font>
      <name val="Arial"/>
      <charset val="1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0F2540"/>
      </patternFill>
    </fill>
    <fill>
      <patternFill patternType="solid">
        <fgColor rgb="FFFFF2CC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0F2540"/>
        <bgColor rgb="FF1F3864"/>
      </patternFill>
    </fill>
    <fill>
      <patternFill patternType="solid">
        <fgColor rgb="FFBDD7EE"/>
        <b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0" borderId="0" pivotButton="0" quotePrefix="0" xfId="0"/>
    <xf numFmtId="165" fontId="5" fillId="3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pivotButton="0" quotePrefix="0" xfId="0"/>
    <xf numFmtId="0" fontId="7" fillId="4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/>
  </cellStyles>
  <dxfs count="7"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9"/>
        <vertAlign val="baseline"/>
      </font>
      <fill>
        <patternFill patternType="solid">
          <fgColor rgb="FF0F2540"/>
          <bgColor rgb="FF1F3864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border outline="0">
        <bottom style="thin">
          <color rgb="FFBFBFBF"/>
        </bottom>
      </border>
    </dxf>
    <dxf>
      <border outline="0">
        <top style="thin">
          <color rgb="FFBFBFBF"/>
        </top>
      </border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0F25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au1" displayName="Tableau1" ref="A2:K90" headerRowCount="1" totalsRowShown="0" headerRowDxfId="0" headerRowBorderDxfId="1" tableBorderDxfId="2">
  <autoFilter ref="A2:K90"/>
  <tableColumns count="11">
    <tableColumn id="1" name="Semaine (lundi)"/>
    <tableColumn id="2" name="Complexe"/>
    <tableColumn id="3" name="Note Google"/>
    <tableColumn id="4" name="Avis Google"/>
    <tableColumn id="5" name="Abonnés Instagram"/>
    <tableColumn id="6" name="Posts Instagram"/>
    <tableColumn id="7" name="Abonnés Facebook"/>
    <tableColumn id="8" name="Abonnés TikTok"/>
    <tableColumn id="9" name="Vidéos TikTok"/>
    <tableColumn id="10" name="Total abonnés">
      <calculatedColumnFormula>IF(SUM(E3,G3,H3)=0,"",SUM(E3,G3,H3))</calculatedColumnFormula>
    </tableColumn>
    <tableColumn id="11" name="Remarqu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0" tabSelected="1" zoomScaleNormal="100" workbookViewId="0">
      <selection activeCell="K15" sqref="K15"/>
    </sheetView>
  </sheetViews>
  <sheetFormatPr baseColWidth="10" defaultColWidth="8.7109375" defaultRowHeight="15"/>
  <cols>
    <col width="15.7109375" customWidth="1" style="25" min="1" max="1"/>
    <col width="14" customWidth="1" style="25" min="2" max="2"/>
    <col width="12.85546875" customWidth="1" style="25" min="3" max="3"/>
    <col width="12.5703125" customWidth="1" style="25" min="4" max="4"/>
    <col width="19" customWidth="1" style="25" min="5" max="5"/>
    <col width="16.5703125" customWidth="1" style="25" min="6" max="6"/>
    <col width="18.5703125" customWidth="1" style="25" min="7" max="7"/>
    <col width="16.140625" customWidth="1" style="25" min="8" max="8"/>
    <col width="14.5703125" customWidth="1" style="25" min="9" max="10"/>
    <col width="34" customWidth="1" style="25" min="11" max="11"/>
  </cols>
  <sheetData>
    <row r="1" ht="25.5" customHeight="1" s="25">
      <c r="A1" s="24" t="inlineStr">
        <is>
          <t>Relevé hebdomadaire — chiffres bruts (comptes nationaux exclus)</t>
        </is>
      </c>
    </row>
    <row r="2" ht="21.75" customHeight="1" s="25">
      <c r="A2" s="28" t="inlineStr">
        <is>
          <t>Semaine (lundi)</t>
        </is>
      </c>
      <c r="B2" s="28" t="inlineStr">
        <is>
          <t>Complexe</t>
        </is>
      </c>
      <c r="C2" s="28" t="inlineStr">
        <is>
          <t>Note Google</t>
        </is>
      </c>
      <c r="D2" s="28" t="inlineStr">
        <is>
          <t>Avis Google</t>
        </is>
      </c>
      <c r="E2" s="28" t="inlineStr">
        <is>
          <t>Abonnés Instagram</t>
        </is>
      </c>
      <c r="F2" s="28" t="inlineStr">
        <is>
          <t>Posts Instagram</t>
        </is>
      </c>
      <c r="G2" s="28" t="inlineStr">
        <is>
          <t>Abonnés Facebook</t>
        </is>
      </c>
      <c r="H2" s="28" t="inlineStr">
        <is>
          <t>Abonnés TikTok</t>
        </is>
      </c>
      <c r="I2" s="28" t="inlineStr">
        <is>
          <t>Vidéos TikTok</t>
        </is>
      </c>
      <c r="J2" s="28" t="inlineStr">
        <is>
          <t>Total abonnés</t>
        </is>
      </c>
      <c r="K2" s="28" t="inlineStr">
        <is>
          <t>Remarques</t>
        </is>
      </c>
    </row>
    <row r="3" ht="15" customHeight="1" s="25">
      <c r="A3" s="3" t="inlineStr">
        <is>
          <t>2026-06-22</t>
        </is>
      </c>
      <c r="B3" s="4" t="inlineStr">
        <is>
          <t>Le client</t>
        </is>
      </c>
      <c r="C3" s="5" t="n">
        <v>4.6</v>
      </c>
      <c r="D3" s="3" t="n">
        <v>767</v>
      </c>
      <c r="E3" s="3" t="n">
        <v>1606</v>
      </c>
      <c r="F3" s="3" t="n">
        <v>304</v>
      </c>
      <c r="G3" s="3" t="n">
        <v>3434</v>
      </c>
      <c r="H3" s="3" t="n">
        <v>553</v>
      </c>
      <c r="I3" s="3" t="n">
        <v>18</v>
      </c>
      <c r="J3" s="3">
        <f>IF(SUM(E3,G3,H3)=0,"",SUM(E3,G3,H3))</f>
        <v/>
      </c>
      <c r="K3" s="6" t="n"/>
    </row>
    <row r="4" ht="15" customHeight="1" s="25">
      <c r="A4" s="7" t="inlineStr">
        <is>
          <t>2026-06-22</t>
        </is>
      </c>
      <c r="B4" s="8" t="inlineStr">
        <is>
          <t>Concurrent A</t>
        </is>
      </c>
      <c r="C4" s="9" t="n">
        <v>4.9</v>
      </c>
      <c r="D4" s="7" t="n">
        <v>1927</v>
      </c>
      <c r="E4" s="7" t="n">
        <v>2705</v>
      </c>
      <c r="F4" s="7" t="n">
        <v>265</v>
      </c>
      <c r="G4" s="7" t="n"/>
      <c r="H4" s="7" t="n"/>
      <c r="I4" s="7" t="n"/>
      <c r="J4" s="7">
        <f>IF(SUM(E4,G4,H4)=0,"",SUM(E4,G4,H4))</f>
        <v/>
      </c>
      <c r="K4" s="10" t="inlineStr">
        <is>
          <t>FB non récupéré ; pas de TikTok</t>
        </is>
      </c>
    </row>
    <row r="5" ht="15" customHeight="1" s="25">
      <c r="A5" s="7" t="inlineStr">
        <is>
          <t>2026-06-22</t>
        </is>
      </c>
      <c r="B5" s="8" t="inlineStr">
        <is>
          <t>Concurrent B</t>
        </is>
      </c>
      <c r="C5" s="9" t="n">
        <v>4.9</v>
      </c>
      <c r="D5" s="7" t="n">
        <v>478</v>
      </c>
      <c r="E5" s="7" t="n">
        <v>2392</v>
      </c>
      <c r="F5" s="7" t="n">
        <v>293</v>
      </c>
      <c r="G5" s="7" t="n">
        <v>1012</v>
      </c>
      <c r="H5" s="7" t="n">
        <v>583</v>
      </c>
      <c r="I5" s="7" t="n">
        <v>130</v>
      </c>
      <c r="J5" s="7">
        <f>IF(SUM(E5,G5,H5)=0,"",SUM(E5,G5,H5))</f>
        <v/>
      </c>
      <c r="K5" s="10" t="inlineStr">
        <is>
          <t>TikTok actif (vidéo 223k vues)</t>
        </is>
      </c>
    </row>
    <row r="6" ht="15" customHeight="1" s="25">
      <c r="A6" s="7" t="inlineStr">
        <is>
          <t>2026-06-22</t>
        </is>
      </c>
      <c r="B6" s="8" t="inlineStr">
        <is>
          <t>Concurrent C</t>
        </is>
      </c>
      <c r="C6" s="9" t="n">
        <v>4.6</v>
      </c>
      <c r="D6" s="7" t="n">
        <v>886</v>
      </c>
      <c r="E6" s="7" t="n"/>
      <c r="F6" s="7" t="n"/>
      <c r="G6" s="7" t="n">
        <v>2066</v>
      </c>
      <c r="H6" s="7" t="n"/>
      <c r="I6" s="7" t="n"/>
      <c r="J6" s="7">
        <f>IF(SUM(E6,G6,H6)=0,"",SUM(E6,G6,H6))</f>
        <v/>
      </c>
      <c r="K6" s="10" t="inlineStr">
        <is>
          <t>Insta non récupéré ; pas de TikTok</t>
        </is>
      </c>
    </row>
    <row r="7" ht="15" customHeight="1" s="25">
      <c r="A7" s="7" t="inlineStr">
        <is>
          <t>2026-06-22</t>
        </is>
      </c>
      <c r="B7" s="8" t="inlineStr">
        <is>
          <t>Concurrent D</t>
        </is>
      </c>
      <c r="C7" s="9" t="n">
        <v>4.4</v>
      </c>
      <c r="D7" s="7" t="n">
        <v>569</v>
      </c>
      <c r="E7" s="7" t="n">
        <v>1494</v>
      </c>
      <c r="F7" s="7" t="n">
        <v>505</v>
      </c>
      <c r="G7" s="7" t="n">
        <v>1738</v>
      </c>
      <c r="H7" s="7" t="n"/>
      <c r="I7" s="7" t="n"/>
      <c r="J7" s="7">
        <f>IF(SUM(E7,G7,H7)=0,"",SUM(E7,G7,H7))</f>
        <v/>
      </c>
      <c r="K7" s="10" t="inlineStr">
        <is>
          <t>→ KoJump ; pas de TikTok</t>
        </is>
      </c>
    </row>
    <row r="8" ht="15" customHeight="1" s="25">
      <c r="A8" s="7" t="inlineStr">
        <is>
          <t>2026-06-22</t>
        </is>
      </c>
      <c r="B8" s="8" t="inlineStr">
        <is>
          <t>Concurrent E</t>
        </is>
      </c>
      <c r="C8" s="9" t="n">
        <v>4.1</v>
      </c>
      <c r="D8" s="7" t="n">
        <v>501</v>
      </c>
      <c r="E8" s="7" t="n">
        <v>2479</v>
      </c>
      <c r="F8" s="7" t="n">
        <v>502</v>
      </c>
      <c r="G8" s="7" t="n">
        <v>1600</v>
      </c>
      <c r="H8" s="7" t="n"/>
      <c r="I8" s="7" t="n"/>
      <c r="J8" s="7">
        <f>IF(SUM(E8,G8,H8)=0,"",SUM(E8,G8,H8))</f>
        <v/>
      </c>
      <c r="K8" s="10" t="inlineStr">
        <is>
          <t>Pas de TikTok</t>
        </is>
      </c>
    </row>
    <row r="9" ht="15" customHeight="1" s="25">
      <c r="A9" s="7" t="inlineStr">
        <is>
          <t>2026-06-22</t>
        </is>
      </c>
      <c r="B9" s="8" t="inlineStr">
        <is>
          <t>Concurrent F</t>
        </is>
      </c>
      <c r="C9" s="9" t="n">
        <v>4.1</v>
      </c>
      <c r="D9" s="7" t="n">
        <v>1355</v>
      </c>
      <c r="E9" s="7" t="n"/>
      <c r="F9" s="7" t="n">
        <v>675</v>
      </c>
      <c r="G9" s="7" t="n">
        <v>977</v>
      </c>
      <c r="H9" s="7" t="n"/>
      <c r="I9" s="7" t="n"/>
      <c r="J9" s="7">
        <f>IF(SUM(E9,G9,H9)=0,"",SUM(E9,G9,H9))</f>
        <v/>
      </c>
      <c r="K9" s="10" t="inlineStr">
        <is>
          <t>Insta national EXCLU ; FB local</t>
        </is>
      </c>
    </row>
    <row r="10" ht="15" customHeight="1" s="25">
      <c r="A10" s="7" t="inlineStr">
        <is>
          <t>2026-06-22</t>
        </is>
      </c>
      <c r="B10" s="8" t="inlineStr">
        <is>
          <t>Concurrent G</t>
        </is>
      </c>
      <c r="C10" s="9" t="n">
        <v>4.9</v>
      </c>
      <c r="D10" s="7" t="n">
        <v>224</v>
      </c>
      <c r="E10" s="7" t="n"/>
      <c r="F10" s="7" t="n">
        <v>126</v>
      </c>
      <c r="G10" s="7" t="n"/>
      <c r="H10" s="7" t="n"/>
      <c r="I10" s="7" t="n"/>
      <c r="J10" s="7">
        <f>IF(SUM(E10,G10,H10)=0,"",SUM(E10,G10,H10))</f>
        <v/>
      </c>
      <c r="K10" s="10" t="inlineStr">
        <is>
          <t>Comptes Insta+FB nationaux EXCLUS</t>
        </is>
      </c>
    </row>
    <row r="11" ht="15" customHeight="1" s="25">
      <c r="A11" t="inlineStr">
        <is>
          <t>2026-06-29</t>
        </is>
      </c>
      <c r="B11" t="inlineStr">
        <is>
          <t>Le client</t>
        </is>
      </c>
      <c r="C11" t="n">
        <v>4.6</v>
      </c>
      <c r="D11" t="n">
        <v>767</v>
      </c>
      <c r="E11" t="n">
        <v>1604</v>
      </c>
      <c r="F11" t="n">
        <v>304</v>
      </c>
      <c r="G11" t="n">
        <v>3434</v>
      </c>
      <c r="H11" t="n">
        <v>553</v>
      </c>
      <c r="I11" t="n">
        <v>18</v>
      </c>
      <c r="J11">
        <f>IF(SUM(E11,G11,H11)=0,"",SUM(E11,G11,H11))</f>
        <v/>
      </c>
      <c r="K11" t="inlineStr">
        <is>
          <t>TikTok dormant : dernier post 04/04/2026 ; pic vues 7335 (juil. 2025)</t>
        </is>
      </c>
    </row>
    <row r="12" ht="15" customHeight="1" s="25">
      <c r="A12" t="inlineStr">
        <is>
          <t>2026-06-29</t>
        </is>
      </c>
      <c r="B12" t="inlineStr">
        <is>
          <t>Concurrent A</t>
        </is>
      </c>
      <c r="C12" t="n">
        <v>4.9</v>
      </c>
      <c r="D12" t="n">
        <v>1929</v>
      </c>
      <c r="E12" t="n">
        <v>2707</v>
      </c>
      <c r="F12" t="n">
        <v>265</v>
      </c>
      <c r="J12">
        <f>IF(SUM(E12,G12,H12)=0,"",SUM(E12,G12,H12))</f>
        <v/>
      </c>
      <c r="K12" t="inlineStr">
        <is>
          <t>FB non scrapable ; pas de TikTok</t>
        </is>
      </c>
    </row>
    <row r="13" ht="15" customHeight="1" s="25">
      <c r="A13" t="inlineStr">
        <is>
          <t>2026-06-29</t>
        </is>
      </c>
      <c r="B13" t="inlineStr">
        <is>
          <t>Concurrent B</t>
        </is>
      </c>
      <c r="C13" t="n">
        <v>4.9</v>
      </c>
      <c r="D13" t="n">
        <v>480</v>
      </c>
      <c r="E13" t="n">
        <v>2409</v>
      </c>
      <c r="F13" t="n">
        <v>292</v>
      </c>
      <c r="G13" t="n">
        <v>1013</v>
      </c>
      <c r="H13" t="n">
        <v>591</v>
      </c>
      <c r="I13" t="n">
        <v>131</v>
      </c>
      <c r="J13">
        <f>IF(SUM(E13,G13,H13)=0,"",SUM(E13,G13,H13))</f>
        <v/>
      </c>
      <c r="K13" t="inlineStr">
        <is>
          <t>TikTok très actif (5 vidéos en juin) ; pic vues récent 1134</t>
        </is>
      </c>
    </row>
    <row r="14" ht="15" customHeight="1" s="25">
      <c r="A14" t="inlineStr">
        <is>
          <t>2026-06-29</t>
        </is>
      </c>
      <c r="B14" t="inlineStr">
        <is>
          <t>Concurrent C</t>
        </is>
      </c>
      <c r="C14" t="n">
        <v>4.6</v>
      </c>
      <c r="D14" t="n">
        <v>886</v>
      </c>
      <c r="J14">
        <f>IF(SUM(E14,G14,H14)=0,"",SUM(E14,G14,H14))</f>
        <v/>
      </c>
      <c r="K14" t="inlineStr">
        <is>
          <t>Insta non récupéré ; FB non récupéré (not_available) ; pas de TikTok</t>
        </is>
      </c>
    </row>
    <row r="15" ht="15" customHeight="1" s="25">
      <c r="A15" t="inlineStr">
        <is>
          <t>2026-06-29</t>
        </is>
      </c>
      <c r="B15" t="inlineStr">
        <is>
          <t>Concurrent D</t>
        </is>
      </c>
      <c r="C15" t="n">
        <v>4.4</v>
      </c>
      <c r="D15" t="n">
        <v>569</v>
      </c>
      <c r="E15" t="n">
        <v>1493</v>
      </c>
      <c r="F15" t="n">
        <v>505</v>
      </c>
      <c r="G15" t="n">
        <v>1738</v>
      </c>
      <c r="J15">
        <f>IF(SUM(E15,G15,H15)=0,"",SUM(E15,G15,H15))</f>
        <v/>
      </c>
      <c r="K15" t="inlineStr">
        <is>
          <t>Pas de TikTok</t>
        </is>
      </c>
    </row>
    <row r="16" ht="15" customHeight="1" s="25">
      <c r="A16" t="inlineStr">
        <is>
          <t>2026-06-29</t>
        </is>
      </c>
      <c r="B16" t="inlineStr">
        <is>
          <t>Concurrent E</t>
        </is>
      </c>
      <c r="C16" t="n">
        <v>4.1</v>
      </c>
      <c r="D16" t="n">
        <v>501</v>
      </c>
      <c r="E16" t="n">
        <v>2485</v>
      </c>
      <c r="F16" t="n">
        <v>504</v>
      </c>
      <c r="G16" t="n">
        <v>1600</v>
      </c>
      <c r="J16">
        <f>IF(SUM(E16,G16,H16)=0,"",SUM(E16,G16,H16))</f>
        <v/>
      </c>
      <c r="K16" t="inlineStr">
        <is>
          <t>Pas de TikTok</t>
        </is>
      </c>
    </row>
    <row r="17" ht="15" customHeight="1" s="25">
      <c r="A17" t="inlineStr">
        <is>
          <t>2026-06-29</t>
        </is>
      </c>
      <c r="B17" t="inlineStr">
        <is>
          <t>Concurrent F</t>
        </is>
      </c>
      <c r="C17" t="n">
        <v>4.1</v>
      </c>
      <c r="D17" t="n">
        <v>1357</v>
      </c>
      <c r="G17" t="n">
        <v>977</v>
      </c>
      <c r="J17">
        <f>IF(SUM(E17,G17,H17)=0,"",SUM(E17,G17,H17))</f>
        <v/>
      </c>
      <c r="K17" t="inlineStr">
        <is>
          <t>Insta national EXCLU ; FB local</t>
        </is>
      </c>
    </row>
    <row r="18" ht="15" customHeight="1" s="25">
      <c r="A18" t="inlineStr">
        <is>
          <t>2026-06-29</t>
        </is>
      </c>
      <c r="B18" t="inlineStr">
        <is>
          <t>Concurrent G</t>
        </is>
      </c>
      <c r="C18" t="n">
        <v>4.8</v>
      </c>
      <c r="D18" t="n">
        <v>241</v>
      </c>
      <c r="J18">
        <f>IF(SUM(E18,G18,H18)=0,"",SUM(E18,G18,H18))</f>
        <v/>
      </c>
      <c r="K18" t="inlineStr">
        <is>
          <t>Comptes Insta+FB nationaux EXCLUS</t>
        </is>
      </c>
    </row>
    <row r="19" ht="15" customHeight="1" s="25">
      <c r="A19" t="inlineStr">
        <is>
          <t>2026-07-06</t>
        </is>
      </c>
      <c r="B19" t="inlineStr">
        <is>
          <t>Le client</t>
        </is>
      </c>
      <c r="C19" t="n">
        <v>4.6</v>
      </c>
      <c r="D19" t="n">
        <v>767</v>
      </c>
      <c r="E19" t="n">
        <v>1603</v>
      </c>
      <c r="F19" t="n">
        <v>304</v>
      </c>
      <c r="G19" t="n">
        <v>3434</v>
      </c>
      <c r="H19" t="n">
        <v>552</v>
      </c>
      <c r="I19" t="n">
        <v>18</v>
      </c>
      <c r="J19">
        <f>IF(SUM(E19,G19,H19)=0,"",SUM(E19,G19,H19))</f>
        <v/>
      </c>
      <c r="K19" t="inlineStr">
        <is>
          <t>TikTok dormant : dernier post 04/04/2026 (2472 vues) ; pic récent 7340 (juil. 2025)</t>
        </is>
      </c>
    </row>
    <row r="20" ht="15" customHeight="1" s="25">
      <c r="A20" t="inlineStr">
        <is>
          <t>2026-07-06</t>
        </is>
      </c>
      <c r="B20" t="inlineStr">
        <is>
          <t>Concurrent A</t>
        </is>
      </c>
      <c r="C20" t="n">
        <v>4.9</v>
      </c>
      <c r="D20" t="n">
        <v>1950</v>
      </c>
      <c r="E20" t="n">
        <v>2708</v>
      </c>
      <c r="F20" t="n">
        <v>267</v>
      </c>
      <c r="J20">
        <f>IF(SUM(E20,G20,H20)=0,"",SUM(E20,G20,H20))</f>
        <v/>
      </c>
      <c r="K20" t="inlineStr">
        <is>
          <t>FB non scrapable ; pas de TikTok</t>
        </is>
      </c>
    </row>
    <row r="21" ht="15" customHeight="1" s="25">
      <c r="A21" t="inlineStr">
        <is>
          <t>2026-07-06</t>
        </is>
      </c>
      <c r="B21" t="inlineStr">
        <is>
          <t>Concurrent B</t>
        </is>
      </c>
      <c r="C21" t="n">
        <v>4.9</v>
      </c>
      <c r="D21" t="n">
        <v>480</v>
      </c>
      <c r="E21" t="n">
        <v>2410</v>
      </c>
      <c r="F21" t="n">
        <v>296</v>
      </c>
      <c r="G21" t="n">
        <v>1016</v>
      </c>
      <c r="H21" t="n">
        <v>595</v>
      </c>
      <c r="I21" t="n">
        <v>135</v>
      </c>
      <c r="J21">
        <f>IF(SUM(E21,G21,H21)=0,"",SUM(E21,G21,H21))</f>
        <v/>
      </c>
      <c r="K21" t="inlineStr">
        <is>
          <t>TikTok en forte activité : 2 vidéos le 04/07 (44,2k et 38,3k vues) — pic exceptionnel</t>
        </is>
      </c>
    </row>
    <row r="22" ht="15" customHeight="1" s="25">
      <c r="A22" t="inlineStr">
        <is>
          <t>2026-07-06</t>
        </is>
      </c>
      <c r="B22" t="inlineStr">
        <is>
          <t>Concurrent C</t>
        </is>
      </c>
      <c r="C22" t="n">
        <v>4.6</v>
      </c>
      <c r="D22" t="n">
        <v>886</v>
      </c>
      <c r="J22">
        <f>IF(SUM(E22,G22,H22)=0,"",SUM(E22,G22,H22))</f>
        <v/>
      </c>
      <c r="K22" t="inlineStr">
        <is>
          <t>Insta non tenté ; FB not_available ; pas de TikTok</t>
        </is>
      </c>
    </row>
    <row r="23" ht="15" customHeight="1" s="25">
      <c r="A23" t="inlineStr">
        <is>
          <t>2026-07-06</t>
        </is>
      </c>
      <c r="B23" t="inlineStr">
        <is>
          <t>Concurrent D</t>
        </is>
      </c>
      <c r="C23" t="n">
        <v>4.4</v>
      </c>
      <c r="D23" t="n">
        <v>569</v>
      </c>
      <c r="E23" t="n">
        <v>1496</v>
      </c>
      <c r="F23" t="n">
        <v>505</v>
      </c>
      <c r="G23" t="n">
        <v>1739</v>
      </c>
      <c r="J23">
        <f>IF(SUM(E23,G23,H23)=0,"",SUM(E23,G23,H23))</f>
        <v/>
      </c>
      <c r="K23" t="inlineStr">
        <is>
          <t>Pas de TikTok</t>
        </is>
      </c>
    </row>
    <row r="24" ht="15" customHeight="1" s="25">
      <c r="A24" t="inlineStr">
        <is>
          <t>2026-07-06</t>
        </is>
      </c>
      <c r="B24" t="inlineStr">
        <is>
          <t>Concurrent E</t>
        </is>
      </c>
      <c r="C24" t="n">
        <v>4.1</v>
      </c>
      <c r="D24" t="n">
        <v>502</v>
      </c>
      <c r="E24" t="n">
        <v>2488</v>
      </c>
      <c r="F24" t="n">
        <v>505</v>
      </c>
      <c r="G24" t="n">
        <v>1600</v>
      </c>
      <c r="J24">
        <f>IF(SUM(E24,G24,H24)=0,"",SUM(E24,G24,H24))</f>
        <v/>
      </c>
      <c r="K24" t="inlineStr">
        <is>
          <t>Pas de TikTok</t>
        </is>
      </c>
    </row>
    <row r="25" ht="15" customHeight="1" s="25">
      <c r="A25" t="inlineStr">
        <is>
          <t>2026-07-06</t>
        </is>
      </c>
      <c r="B25" t="inlineStr">
        <is>
          <t>Concurrent F</t>
        </is>
      </c>
      <c r="C25" t="n">
        <v>4.1</v>
      </c>
      <c r="D25" t="n">
        <v>1357</v>
      </c>
      <c r="G25" t="n">
        <v>976</v>
      </c>
      <c r="J25">
        <f>IF(SUM(E25,G25,H25)=0,"",SUM(E25,G25,H25))</f>
        <v/>
      </c>
      <c r="K25" t="inlineStr">
        <is>
          <t>Insta national EXCLU ; FB local</t>
        </is>
      </c>
    </row>
    <row r="26" ht="15" customHeight="1" s="25">
      <c r="A26" t="inlineStr">
        <is>
          <t>2026-07-06</t>
        </is>
      </c>
      <c r="B26" t="inlineStr">
        <is>
          <t>Concurrent G</t>
        </is>
      </c>
      <c r="C26" t="n">
        <v>4.8</v>
      </c>
      <c r="D26" t="n">
        <v>253</v>
      </c>
      <c r="J26">
        <f>IF(SUM(E26,G26,H26)=0,"",SUM(E26,G26,H26))</f>
        <v/>
      </c>
      <c r="K26" t="inlineStr">
        <is>
          <t>Comptes Insta+FB nationaux EXCLUS</t>
        </is>
      </c>
    </row>
    <row r="27" ht="15" customHeight="1" s="25">
      <c r="A27" t="inlineStr">
        <is>
          <t>2026-07-13</t>
        </is>
      </c>
      <c r="B27" t="inlineStr">
        <is>
          <t>Le client</t>
        </is>
      </c>
      <c r="C27" t="n">
        <v>4.6</v>
      </c>
      <c r="D27" t="n">
        <v>766</v>
      </c>
      <c r="E27" t="n">
        <v>1604</v>
      </c>
      <c r="F27" t="n">
        <v>304</v>
      </c>
      <c r="G27" t="n">
        <v>3435</v>
      </c>
      <c r="H27" t="n">
        <v>552</v>
      </c>
      <c r="I27" t="n">
        <v>18</v>
      </c>
      <c r="J27">
        <f>IF(SUM(E27,G27,H27)=0,"",SUM(E27,G27,H27))</f>
        <v/>
      </c>
      <c r="K27" t="inlineStr">
        <is>
          <t>TikTok stable ; pic vues récent 7340 inchangé vs semaine dernière</t>
        </is>
      </c>
    </row>
    <row r="28" ht="15" customHeight="1" s="25">
      <c r="A28" t="inlineStr">
        <is>
          <t>2026-07-13</t>
        </is>
      </c>
      <c r="B28" t="inlineStr">
        <is>
          <t>Concurrent A</t>
        </is>
      </c>
      <c r="C28" t="n">
        <v>4.9</v>
      </c>
      <c r="D28" t="n">
        <v>1971</v>
      </c>
      <c r="E28" t="n">
        <v>2714</v>
      </c>
      <c r="F28" t="n">
        <v>270</v>
      </c>
      <c r="J28">
        <f>IF(SUM(E28,G28,H28)=0,"",SUM(E28,G28,H28))</f>
        <v/>
      </c>
      <c r="K28" t="inlineStr">
        <is>
          <t>FB non scrapable ; pas de TikTok ; +21 avis Google vs semaine dernière</t>
        </is>
      </c>
    </row>
    <row r="29" ht="15" customHeight="1" s="25">
      <c r="A29" t="inlineStr">
        <is>
          <t>2026-07-13</t>
        </is>
      </c>
      <c r="B29" t="inlineStr">
        <is>
          <t>Concurrent B</t>
        </is>
      </c>
      <c r="C29" t="n">
        <v>4.9</v>
      </c>
      <c r="D29" t="n">
        <v>481</v>
      </c>
      <c r="E29" t="n">
        <v>2416</v>
      </c>
      <c r="F29" t="n">
        <v>300</v>
      </c>
      <c r="G29" t="n">
        <v>1016</v>
      </c>
      <c r="H29" t="n">
        <v>613</v>
      </c>
      <c r="I29" t="n">
        <v>138</v>
      </c>
      <c r="J29">
        <f>IF(SUM(E29,G29,H29)=0,"",SUM(E29,G29,H29))</f>
        <v/>
      </c>
      <c r="K29" t="inlineStr">
        <is>
          <t>Buzz TikTok : vue max 152 400 relevée (nouveau pic, à confirmer date vidéo)</t>
        </is>
      </c>
    </row>
    <row r="30" ht="15" customHeight="1" s="25">
      <c r="A30" t="inlineStr">
        <is>
          <t>2026-07-13</t>
        </is>
      </c>
      <c r="B30" t="inlineStr">
        <is>
          <t>Concurrent C</t>
        </is>
      </c>
      <c r="C30" t="n">
        <v>4.6</v>
      </c>
      <c r="D30" t="n">
        <v>888</v>
      </c>
      <c r="J30">
        <f>IF(SUM(E30,G30,H30)=0,"",SUM(E30,G30,H30))</f>
        <v/>
      </c>
      <c r="K30" t="inlineStr">
        <is>
          <t>Insta non tenté ; FB non récupéré (not_available) ; pas de TikTok</t>
        </is>
      </c>
    </row>
    <row r="31" ht="15" customHeight="1" s="25">
      <c r="A31" t="inlineStr">
        <is>
          <t>2026-07-13</t>
        </is>
      </c>
      <c r="B31" t="inlineStr">
        <is>
          <t>Concurrent D</t>
        </is>
      </c>
      <c r="C31" t="n">
        <v>4.4</v>
      </c>
      <c r="D31" t="n">
        <v>570</v>
      </c>
      <c r="E31" t="n">
        <v>1498</v>
      </c>
      <c r="F31" t="n">
        <v>506</v>
      </c>
      <c r="G31" t="n">
        <v>1739</v>
      </c>
      <c r="J31">
        <f>IF(SUM(E31,G31,H31)=0,"",SUM(E31,G31,H31))</f>
        <v/>
      </c>
      <c r="K31" t="inlineStr">
        <is>
          <t>Pas de TikTok</t>
        </is>
      </c>
    </row>
    <row r="32" ht="15" customHeight="1" s="25">
      <c r="A32" t="inlineStr">
        <is>
          <t>2026-07-13</t>
        </is>
      </c>
      <c r="B32" t="inlineStr">
        <is>
          <t>Concurrent E</t>
        </is>
      </c>
      <c r="C32" t="n">
        <v>4.1</v>
      </c>
      <c r="D32" t="n">
        <v>505</v>
      </c>
      <c r="E32" t="n">
        <v>2500</v>
      </c>
      <c r="F32" t="n">
        <v>508</v>
      </c>
      <c r="G32" t="n">
        <v>1711</v>
      </c>
      <c r="J32">
        <f>IF(SUM(E32,G32,H32)=0,"",SUM(E32,G32,H32))</f>
        <v/>
      </c>
      <c r="K32" t="inlineStr">
        <is>
          <t>Pas de TikTok ; FB +111 abonnés vs semaine dernière</t>
        </is>
      </c>
    </row>
    <row r="33" ht="15" customHeight="1" s="25">
      <c r="A33" t="inlineStr">
        <is>
          <t>2026-07-13</t>
        </is>
      </c>
      <c r="B33" t="inlineStr">
        <is>
          <t>Concurrent F</t>
        </is>
      </c>
      <c r="C33" t="n">
        <v>4.1</v>
      </c>
      <c r="D33" t="n">
        <v>1361</v>
      </c>
      <c r="G33" t="n">
        <v>977</v>
      </c>
      <c r="J33">
        <f>IF(SUM(E33,G33,H33)=0,"",SUM(E33,G33,H33))</f>
        <v/>
      </c>
      <c r="K33" t="inlineStr">
        <is>
          <t>Insta national EXCLU ; FB local</t>
        </is>
      </c>
    </row>
    <row r="34" ht="15" customHeight="1" s="25">
      <c r="A34" t="inlineStr">
        <is>
          <t>2026-07-13</t>
        </is>
      </c>
      <c r="B34" t="inlineStr">
        <is>
          <t>Concurrent G</t>
        </is>
      </c>
      <c r="C34" t="n">
        <v>4.8</v>
      </c>
      <c r="D34" t="n">
        <v>273</v>
      </c>
      <c r="J34">
        <f>IF(SUM(E34,G34,H34)=0,"",SUM(E34,G34,H34))</f>
        <v/>
      </c>
      <c r="K34" t="inlineStr">
        <is>
          <t>Comptes Insta+FB nationaux EXCLUS ; +20 avis Google vs semaine dernière</t>
        </is>
      </c>
    </row>
    <row r="35" ht="15" customHeight="1" s="25">
      <c r="A35" t="inlineStr">
        <is>
          <t>2026-07-20</t>
        </is>
      </c>
      <c r="B35" t="inlineStr">
        <is>
          <t>Le client</t>
        </is>
      </c>
      <c r="C35" t="n">
        <v>4.6</v>
      </c>
      <c r="D35" t="n">
        <v>768</v>
      </c>
      <c r="E35" t="n">
        <v>1606</v>
      </c>
      <c r="F35" t="n">
        <v>305</v>
      </c>
      <c r="G35" t="n">
        <v>3438</v>
      </c>
      <c r="H35" t="n">
        <v>551</v>
      </c>
      <c r="I35" t="n">
        <v>18</v>
      </c>
      <c r="J35">
        <f>IF(SUM(E35,G35,H35)=0,"",SUM(E35,G35,H35))</f>
        <v/>
      </c>
      <c r="K35" t="inlineStr">
        <is>
          <t>TikTok dormant : dernier post 04/04/2026 (2482 vues) ; pic vues récent 7342 inchangé</t>
        </is>
      </c>
    </row>
    <row r="36" ht="15" customHeight="1" s="25">
      <c r="A36" t="inlineStr">
        <is>
          <t>2026-07-20</t>
        </is>
      </c>
      <c r="B36" t="inlineStr">
        <is>
          <t>Concurrent A</t>
        </is>
      </c>
      <c r="C36" t="n">
        <v>4.9</v>
      </c>
      <c r="D36" t="n">
        <v>1988</v>
      </c>
      <c r="E36" t="n">
        <v>2719</v>
      </c>
      <c r="F36" t="n">
        <v>273</v>
      </c>
      <c r="J36">
        <f>IF(SUM(E36,G36,H36)=0,"",SUM(E36,G36,H36))</f>
        <v/>
      </c>
      <c r="K36" t="inlineStr">
        <is>
          <t>FB non scrapable ; pas de TikTok ; +17 avis Google vs S-07-13</t>
        </is>
      </c>
    </row>
    <row r="37" ht="15" customHeight="1" s="25">
      <c r="A37" t="inlineStr">
        <is>
          <t>2026-07-20</t>
        </is>
      </c>
      <c r="B37" t="inlineStr">
        <is>
          <t>Concurrent B</t>
        </is>
      </c>
      <c r="C37" t="n">
        <v>4.9</v>
      </c>
      <c r="D37" t="n">
        <v>481</v>
      </c>
      <c r="E37" t="n">
        <v>2418</v>
      </c>
      <c r="F37" t="n">
        <v>303</v>
      </c>
      <c r="G37" t="n">
        <v>1021</v>
      </c>
      <c r="H37" t="n">
        <v>635</v>
      </c>
      <c r="I37" t="n">
        <v>143</v>
      </c>
      <c r="J37">
        <f>IF(SUM(E37,G37,H37)=0,"",SUM(E37,G37,H37))</f>
        <v/>
      </c>
      <c r="K37" t="inlineStr">
        <is>
          <t>Buzz TikTok : vue max 311 000 (vidéo 10/07/2026), nouveau pic ; TikTok +22 abonnés ; FB +5</t>
        </is>
      </c>
    </row>
    <row r="38" ht="15" customHeight="1" s="25">
      <c r="A38" t="inlineStr">
        <is>
          <t>2026-07-20</t>
        </is>
      </c>
      <c r="B38" t="inlineStr">
        <is>
          <t>Concurrent C</t>
        </is>
      </c>
      <c r="C38" t="n">
        <v>4.6</v>
      </c>
      <c r="D38" t="n">
        <v>889</v>
      </c>
      <c r="J38">
        <f>IF(SUM(E38,G38,H38)=0,"",SUM(E38,G38,H38))</f>
        <v/>
      </c>
      <c r="K38" t="inlineStr">
        <is>
          <t>Insta non tenté ; FB non récupéré (not_available) ; pas de TikTok</t>
        </is>
      </c>
    </row>
    <row r="39" ht="15" customHeight="1" s="25">
      <c r="A39" t="inlineStr">
        <is>
          <t>2026-07-20</t>
        </is>
      </c>
      <c r="B39" t="inlineStr">
        <is>
          <t>Concurrent D</t>
        </is>
      </c>
      <c r="C39" t="n">
        <v>4.4</v>
      </c>
      <c r="D39" t="n">
        <v>571</v>
      </c>
      <c r="E39" t="n">
        <v>1497</v>
      </c>
      <c r="F39" t="n">
        <v>506</v>
      </c>
      <c r="G39" t="n">
        <v>1738</v>
      </c>
      <c r="J39">
        <f>IF(SUM(E39,G39,H39)=0,"",SUM(E39,G39,H39))</f>
        <v/>
      </c>
      <c r="K39" t="inlineStr">
        <is>
          <t>Pas de TikTok ; IG -1 / FB -1 vs S-07-13</t>
        </is>
      </c>
    </row>
    <row r="40" ht="15" customHeight="1" s="25">
      <c r="A40" t="inlineStr">
        <is>
          <t>2026-07-20</t>
        </is>
      </c>
      <c r="B40" t="inlineStr">
        <is>
          <t>Concurrent E</t>
        </is>
      </c>
      <c r="C40" t="n">
        <v>4.1</v>
      </c>
      <c r="D40" t="n">
        <v>507</v>
      </c>
      <c r="E40" t="n">
        <v>2510</v>
      </c>
      <c r="F40" t="n">
        <v>508</v>
      </c>
      <c r="G40" t="n">
        <v>1723</v>
      </c>
      <c r="J40">
        <f>IF(SUM(E40,G40,H40)=0,"",SUM(E40,G40,H40))</f>
        <v/>
      </c>
      <c r="K40" t="inlineStr">
        <is>
          <t>Pas de TikTok ; IG +10 / FB +12 vs S-07-13</t>
        </is>
      </c>
    </row>
    <row r="41" ht="15" customHeight="1" s="25">
      <c r="A41" t="inlineStr">
        <is>
          <t>2026-07-20</t>
        </is>
      </c>
      <c r="B41" t="inlineStr">
        <is>
          <t>Concurrent F</t>
        </is>
      </c>
      <c r="C41" t="n">
        <v>4.1</v>
      </c>
      <c r="D41" t="n">
        <v>1367</v>
      </c>
      <c r="G41" t="n">
        <v>977</v>
      </c>
      <c r="J41">
        <f>IF(SUM(E41,G41,H41)=0,"",SUM(E41,G41,H41))</f>
        <v/>
      </c>
      <c r="K41" t="inlineStr">
        <is>
          <t>Insta national EXCLU ; FB local</t>
        </is>
      </c>
    </row>
    <row r="42" ht="15" customHeight="1" s="25">
      <c r="A42" t="inlineStr">
        <is>
          <t>2026-07-20</t>
        </is>
      </c>
      <c r="B42" t="inlineStr">
        <is>
          <t>Concurrent G</t>
        </is>
      </c>
      <c r="C42" t="n">
        <v>4.8</v>
      </c>
      <c r="D42" t="n">
        <v>290</v>
      </c>
      <c r="J42">
        <f>IF(SUM(E42,G42,H42)=0,"",SUM(E42,G42,H42))</f>
        <v/>
      </c>
      <c r="K42" t="inlineStr">
        <is>
          <t>Comptes Insta+FB nationaux EXCLUS ; +17 avis Google vs S-07-13</t>
        </is>
      </c>
    </row>
    <row r="43" ht="15" customHeight="1" s="25">
      <c r="A43" t="inlineStr">
        <is>
          <t>2026-07-27</t>
        </is>
      </c>
      <c r="B43" t="inlineStr">
        <is>
          <t>Le client</t>
        </is>
      </c>
      <c r="C43" t="n">
        <v>4.6</v>
      </c>
      <c r="D43" t="n">
        <v>769</v>
      </c>
      <c r="E43" t="n">
        <v>1606</v>
      </c>
      <c r="F43" t="n">
        <v>305</v>
      </c>
      <c r="G43" t="n">
        <v>3437</v>
      </c>
      <c r="H43" t="n">
        <v>551</v>
      </c>
      <c r="I43" t="n">
        <v>18</v>
      </c>
      <c r="J43">
        <f>IF(SUM(E43,G43,H43)=0,"",SUM(E43,G43,H43))</f>
        <v/>
      </c>
      <c r="K43" t="inlineStr">
        <is>
          <t>TikTok dormant (dernier post 04/04/2026, 2490 vues) ; pic vues récent 7349 ; FB -1 / avis Google +1 vs S-07-20</t>
        </is>
      </c>
    </row>
    <row r="44" ht="15" customHeight="1" s="25">
      <c r="A44" t="inlineStr">
        <is>
          <t>2026-07-27</t>
        </is>
      </c>
      <c r="B44" t="inlineStr">
        <is>
          <t>Concurrent A</t>
        </is>
      </c>
      <c r="C44" t="n">
        <v>4.9</v>
      </c>
      <c r="D44" t="n">
        <v>2011</v>
      </c>
      <c r="E44" t="n">
        <v>2719</v>
      </c>
      <c r="F44" t="n">
        <v>275</v>
      </c>
      <c r="J44">
        <f>IF(SUM(E44,G44,H44)=0,"",SUM(E44,G44,H44))</f>
        <v/>
      </c>
      <c r="K44" t="inlineStr">
        <is>
          <t>FB non scrapable ; pas de TikTok ; +23 avis Google vs S-07-20</t>
        </is>
      </c>
    </row>
    <row r="45" ht="15" customHeight="1" s="25">
      <c r="A45" t="inlineStr">
        <is>
          <t>2026-07-27</t>
        </is>
      </c>
      <c r="B45" t="inlineStr">
        <is>
          <t>Concurrent B</t>
        </is>
      </c>
      <c r="C45" t="n">
        <v>4.9</v>
      </c>
      <c r="D45" t="n">
        <v>482</v>
      </c>
      <c r="E45" t="n">
        <v>2419</v>
      </c>
      <c r="F45" t="n">
        <v>306</v>
      </c>
      <c r="G45" t="n">
        <v>1028</v>
      </c>
      <c r="H45" t="n">
        <v>658</v>
      </c>
      <c r="I45" t="n">
        <v>146</v>
      </c>
      <c r="J45">
        <f>IF(SUM(E45,G45,H45)=0,"",SUM(E45,G45,H45))</f>
        <v/>
      </c>
      <c r="K45" t="inlineStr">
        <is>
          <t>Buzz TikTok : vue max 398 700 (vidéo 10/07, +88k vs S-07-20) ; TikTok +23 abonnés ; FB +7 ; IG +1</t>
        </is>
      </c>
    </row>
    <row r="46" ht="15" customHeight="1" s="25">
      <c r="A46" t="inlineStr">
        <is>
          <t>2026-07-27</t>
        </is>
      </c>
      <c r="B46" t="inlineStr">
        <is>
          <t>Concurrent C</t>
        </is>
      </c>
      <c r="C46" t="n">
        <v>4.6</v>
      </c>
      <c r="D46" t="n">
        <v>889</v>
      </c>
      <c r="J46">
        <f>IF(SUM(E46,G46,H46)=0,"",SUM(E46,G46,H46))</f>
        <v/>
      </c>
      <c r="K46" t="inlineStr">
        <is>
          <t>IG non tenté ; FB non récupéré (not_available) ; pas de TikTok ; avis Google stables</t>
        </is>
      </c>
    </row>
    <row r="47" ht="15" customHeight="1" s="25">
      <c r="A47" t="inlineStr">
        <is>
          <t>2026-07-27</t>
        </is>
      </c>
      <c r="B47" t="inlineStr">
        <is>
          <t>Concurrent D</t>
        </is>
      </c>
      <c r="C47" t="n">
        <v>4.4</v>
      </c>
      <c r="D47" t="n">
        <v>577</v>
      </c>
      <c r="E47" t="n">
        <v>1498</v>
      </c>
      <c r="F47" t="n">
        <v>506</v>
      </c>
      <c r="G47" t="n">
        <v>1737</v>
      </c>
      <c r="J47">
        <f>IF(SUM(E47,G47,H47)=0,"",SUM(E47,G47,H47))</f>
        <v/>
      </c>
      <c r="K47" t="inlineStr">
        <is>
          <t>Pas de TikTok ; +6 avis Google ; FB -1 vs S-07-20</t>
        </is>
      </c>
    </row>
    <row r="48" ht="15" customHeight="1" s="25">
      <c r="A48" t="inlineStr">
        <is>
          <t>2026-07-27</t>
        </is>
      </c>
      <c r="B48" t="inlineStr">
        <is>
          <t>Concurrent E</t>
        </is>
      </c>
      <c r="C48" t="n">
        <v>4.1</v>
      </c>
      <c r="D48" t="n">
        <v>510</v>
      </c>
      <c r="E48" t="n">
        <v>2509</v>
      </c>
      <c r="F48" t="n">
        <v>508</v>
      </c>
      <c r="G48" t="n">
        <v>1724</v>
      </c>
      <c r="J48">
        <f>IF(SUM(E48,G48,H48)=0,"",SUM(E48,G48,H48))</f>
        <v/>
      </c>
      <c r="K48" t="inlineStr">
        <is>
          <t>Pas de TikTok ; +3 avis Google ; IG -1 / FB +1 vs S-07-20</t>
        </is>
      </c>
    </row>
    <row r="49" ht="15" customHeight="1" s="25">
      <c r="A49" t="inlineStr">
        <is>
          <t>2026-07-27</t>
        </is>
      </c>
      <c r="B49" t="inlineStr">
        <is>
          <t>Concurrent F</t>
        </is>
      </c>
      <c r="C49" t="n">
        <v>4.1</v>
      </c>
      <c r="D49" t="n">
        <v>1369</v>
      </c>
      <c r="G49" t="n">
        <v>976</v>
      </c>
      <c r="J49">
        <f>IF(SUM(E49,G49,H49)=0,"",SUM(E49,G49,H49))</f>
        <v/>
      </c>
      <c r="K49" t="inlineStr">
        <is>
          <t>Insta national EXCLU ; FB local ; +2 avis Google vs S-07-20</t>
        </is>
      </c>
    </row>
    <row r="50" ht="15" customHeight="1" s="25">
      <c r="A50" t="inlineStr">
        <is>
          <t>2026-07-27</t>
        </is>
      </c>
      <c r="B50" t="inlineStr">
        <is>
          <t>Concurrent G</t>
        </is>
      </c>
      <c r="C50" t="n">
        <v>4.8</v>
      </c>
      <c r="D50" t="n">
        <v>342</v>
      </c>
      <c r="J50">
        <f>IF(SUM(E50,G50,H50)=0,"",SUM(E50,G50,H50))</f>
        <v/>
      </c>
      <c r="K50" t="inlineStr">
        <is>
          <t>Comptes Insta+FB nationaux EXCLUS ; +52 avis Google vs S-07-20 (forte hausse à surveiller)</t>
        </is>
      </c>
    </row>
    <row r="51" ht="15" customHeight="1" s="25">
      <c r="A51" t="inlineStr">
        <is>
          <t>2026-08-03</t>
        </is>
      </c>
      <c r="B51" t="inlineStr">
        <is>
          <t>Le client</t>
        </is>
      </c>
      <c r="C51" t="n">
        <v>4.6</v>
      </c>
      <c r="D51" t="n">
        <v>769</v>
      </c>
      <c r="E51" t="n">
        <v>1605</v>
      </c>
      <c r="F51" t="n">
        <v>305</v>
      </c>
      <c r="G51" t="n">
        <v>3435</v>
      </c>
      <c r="H51" t="n">
        <v>551</v>
      </c>
      <c r="I51" t="n">
        <v>18</v>
      </c>
      <c r="J51">
        <f>IF(SUM(E51,G51,H51)=0,"",SUM(E51,G51,H51))</f>
        <v/>
      </c>
      <c r="K51" t="inlineStr">
        <is>
          <t>TikTok dormant : pic vues récent 7352 (quasi stable) ; FB -2 / IG -1 vs S-07-27 ; avis Google stables</t>
        </is>
      </c>
    </row>
    <row r="52" ht="15" customHeight="1" s="25">
      <c r="A52" t="inlineStr">
        <is>
          <t>2026-08-03</t>
        </is>
      </c>
      <c r="B52" t="inlineStr">
        <is>
          <t>Concurrent A</t>
        </is>
      </c>
      <c r="C52" t="n">
        <v>4.9</v>
      </c>
      <c r="D52" t="n">
        <v>2016</v>
      </c>
      <c r="E52" t="n">
        <v>2716</v>
      </c>
      <c r="F52" t="n">
        <v>277</v>
      </c>
      <c r="J52">
        <f>IF(SUM(E52,G52,H52)=0,"",SUM(E52,G52,H52))</f>
        <v/>
      </c>
      <c r="K52" t="inlineStr">
        <is>
          <t>FB non scrapable ; pas de TikTok ; +5 avis Google ; IG -3 vs S-07-27</t>
        </is>
      </c>
    </row>
    <row r="53" ht="15" customHeight="1" s="25">
      <c r="A53" t="inlineStr">
        <is>
          <t>2026-08-03</t>
        </is>
      </c>
      <c r="B53" t="inlineStr">
        <is>
          <t>Concurrent B</t>
        </is>
      </c>
      <c r="C53" t="n">
        <v>4.9</v>
      </c>
      <c r="D53" t="n">
        <v>485</v>
      </c>
      <c r="E53" t="n">
        <v>2421</v>
      </c>
      <c r="F53" t="n">
        <v>310</v>
      </c>
      <c r="G53" t="n">
        <v>1036</v>
      </c>
      <c r="H53" t="n">
        <v>674</v>
      </c>
      <c r="I53" t="n">
        <v>149</v>
      </c>
      <c r="J53">
        <f>IF(SUM(E53,G53,H53)=0,"",SUM(E53,G53,H53))</f>
        <v/>
      </c>
      <c r="K53" t="inlineStr">
        <is>
          <t>Buzz TikTok : vue max 428 900 (+30k vs S-07-27) ; TikTok +16 abonnés ; FB +8 ; IG +2</t>
        </is>
      </c>
    </row>
    <row r="54" ht="15" customHeight="1" s="25">
      <c r="A54" t="inlineStr">
        <is>
          <t>2026-08-03</t>
        </is>
      </c>
      <c r="B54" t="inlineStr">
        <is>
          <t>Concurrent C</t>
        </is>
      </c>
      <c r="C54" t="n">
        <v>4.6</v>
      </c>
      <c r="D54" t="n">
        <v>891</v>
      </c>
      <c r="J54">
        <f>IF(SUM(E54,G54,H54)=0,"",SUM(E54,G54,H54))</f>
        <v/>
      </c>
      <c r="K54" t="inlineStr">
        <is>
          <t>IG non tenté ; FB non récupéré (not_available) ; pas de TikTok ; +2 avis Google vs S-07-27</t>
        </is>
      </c>
    </row>
    <row r="55" ht="15" customHeight="1" s="25">
      <c r="A55" t="inlineStr">
        <is>
          <t>2026-08-03</t>
        </is>
      </c>
      <c r="B55" t="inlineStr">
        <is>
          <t>Concurrent D</t>
        </is>
      </c>
      <c r="C55" t="n">
        <v>4.4</v>
      </c>
      <c r="D55" t="n">
        <v>579</v>
      </c>
      <c r="E55" t="n">
        <v>1497</v>
      </c>
      <c r="F55" t="n">
        <v>507</v>
      </c>
      <c r="G55" t="n">
        <v>1736</v>
      </c>
      <c r="J55">
        <f>IF(SUM(E55,G55,H55)=0,"",SUM(E55,G55,H55))</f>
        <v/>
      </c>
      <c r="K55" t="inlineStr">
        <is>
          <t>Pas de TikTok ; +2 avis Google ; IG -1 / FB -1 vs S-07-27</t>
        </is>
      </c>
    </row>
    <row r="56" ht="15" customHeight="1" s="25">
      <c r="A56" t="inlineStr">
        <is>
          <t>2026-08-03</t>
        </is>
      </c>
      <c r="B56" t="inlineStr">
        <is>
          <t>Concurrent E</t>
        </is>
      </c>
      <c r="C56" t="n">
        <v>4.1</v>
      </c>
      <c r="D56" t="n">
        <v>511</v>
      </c>
      <c r="E56" t="n">
        <v>2510</v>
      </c>
      <c r="F56" t="n">
        <v>510</v>
      </c>
      <c r="G56" t="n">
        <v>1725</v>
      </c>
      <c r="J56">
        <f>IF(SUM(E56,G56,H56)=0,"",SUM(E56,G56,H56))</f>
        <v/>
      </c>
      <c r="K56" t="inlineStr">
        <is>
          <t>Pas de TikTok ; +1 avis Google ; IG +1 / FB +1 vs S-07-27</t>
        </is>
      </c>
    </row>
    <row r="57" ht="15" customHeight="1" s="25">
      <c r="A57" t="inlineStr">
        <is>
          <t>2026-08-03</t>
        </is>
      </c>
      <c r="B57" t="inlineStr">
        <is>
          <t>Concurrent F</t>
        </is>
      </c>
      <c r="C57" t="n">
        <v>4.1</v>
      </c>
      <c r="D57" t="n">
        <v>1373</v>
      </c>
      <c r="G57" t="n">
        <v>976</v>
      </c>
      <c r="J57">
        <f>IF(SUM(E57,G57,H57)=0,"",SUM(E57,G57,H57))</f>
        <v/>
      </c>
      <c r="K57" t="inlineStr">
        <is>
          <t>Insta national EXCLU ; FB local stable ; +4 avis Google vs S-07-27</t>
        </is>
      </c>
    </row>
    <row r="58" ht="15" customHeight="1" s="25">
      <c r="A58" t="inlineStr">
        <is>
          <t>2026-08-03</t>
        </is>
      </c>
      <c r="B58" t="inlineStr">
        <is>
          <t>Concurrent G</t>
        </is>
      </c>
      <c r="C58" t="n">
        <v>4.8</v>
      </c>
      <c r="D58" t="n">
        <v>359</v>
      </c>
      <c r="J58">
        <f>IF(SUM(E58,G58,H58)=0,"",SUM(E58,G58,H58))</f>
        <v/>
      </c>
      <c r="K58" t="inlineStr">
        <is>
          <t>Comptes Insta+FB nationaux EXCLUS ; +17 avis Google vs S-07-27</t>
        </is>
      </c>
    </row>
    <row r="59" ht="15" customHeight="1" s="25">
      <c r="A59" t="inlineStr">
        <is>
          <t>2026-08-17</t>
        </is>
      </c>
      <c r="B59" t="inlineStr">
        <is>
          <t>Le client</t>
        </is>
      </c>
      <c r="C59" t="n">
        <v>4.6</v>
      </c>
      <c r="D59" t="n">
        <v>772</v>
      </c>
      <c r="E59" t="n">
        <v>1865</v>
      </c>
      <c r="F59" t="n">
        <v>306</v>
      </c>
      <c r="G59" t="n">
        <v>3440</v>
      </c>
      <c r="H59" t="n">
        <v>555</v>
      </c>
      <c r="I59" t="n">
        <v>19</v>
      </c>
      <c r="J59">
        <f>IF(SUM(E59,G59,H59)=0,"",SUM(E59,G59,H59))</f>
        <v/>
      </c>
    </row>
    <row r="60" ht="15" customHeight="1" s="25">
      <c r="A60" t="inlineStr">
        <is>
          <t>2026-08-17</t>
        </is>
      </c>
      <c r="B60" t="inlineStr">
        <is>
          <t>Concurrent A</t>
        </is>
      </c>
      <c r="C60" t="n">
        <v>4.9</v>
      </c>
      <c r="D60" t="n">
        <v>2025</v>
      </c>
      <c r="E60" t="n">
        <v>2717</v>
      </c>
      <c r="F60" t="n">
        <v>282</v>
      </c>
      <c r="J60">
        <f>IF(SUM(E60,G60,H60)=0,"",SUM(E60,G60,H60))</f>
        <v/>
      </c>
    </row>
    <row r="61" ht="15" customHeight="1" s="25">
      <c r="A61" t="inlineStr">
        <is>
          <t>2026-08-17</t>
        </is>
      </c>
      <c r="B61" t="inlineStr">
        <is>
          <t>Concurrent B</t>
        </is>
      </c>
      <c r="C61" t="n">
        <v>4.9</v>
      </c>
      <c r="D61" t="n">
        <v>495</v>
      </c>
      <c r="E61" t="n">
        <v>2438</v>
      </c>
      <c r="F61" t="n">
        <v>320</v>
      </c>
      <c r="G61" t="n">
        <v>1048</v>
      </c>
      <c r="H61" t="n">
        <v>731</v>
      </c>
      <c r="I61" t="n">
        <v>155</v>
      </c>
      <c r="J61">
        <f>IF(SUM(E61,G61,H61)=0,"",SUM(E61,G61,H61))</f>
        <v/>
      </c>
    </row>
    <row r="62" ht="15" customHeight="1" s="25">
      <c r="A62" t="inlineStr">
        <is>
          <t>2026-08-17</t>
        </is>
      </c>
      <c r="B62" t="inlineStr">
        <is>
          <t>Concurrent C</t>
        </is>
      </c>
      <c r="C62" t="n">
        <v>4.6</v>
      </c>
      <c r="D62" t="n">
        <v>894</v>
      </c>
      <c r="J62">
        <f>IF(SUM(E62,G62,H62)=0,"",SUM(E62,G62,H62))</f>
        <v/>
      </c>
    </row>
    <row r="63" ht="15" customHeight="1" s="25">
      <c r="A63" t="inlineStr">
        <is>
          <t>2026-08-17</t>
        </is>
      </c>
      <c r="B63" t="inlineStr">
        <is>
          <t>Concurrent D</t>
        </is>
      </c>
      <c r="C63" t="n">
        <v>4.4</v>
      </c>
      <c r="D63" t="n">
        <v>582</v>
      </c>
      <c r="E63" t="n">
        <v>1493</v>
      </c>
      <c r="F63" t="n">
        <v>507</v>
      </c>
      <c r="G63" t="n">
        <v>1736</v>
      </c>
      <c r="J63">
        <f>IF(SUM(E63,G63,H63)=0,"",SUM(E63,G63,H63))</f>
        <v/>
      </c>
    </row>
    <row r="64" ht="15" customHeight="1" s="25">
      <c r="A64" t="inlineStr">
        <is>
          <t>2026-08-17</t>
        </is>
      </c>
      <c r="B64" t="inlineStr">
        <is>
          <t>Concurrent E</t>
        </is>
      </c>
      <c r="C64" t="n">
        <v>4.1</v>
      </c>
      <c r="D64" t="n">
        <v>514</v>
      </c>
      <c r="E64" t="n">
        <v>2513</v>
      </c>
      <c r="F64" t="n">
        <v>512</v>
      </c>
      <c r="G64" t="n">
        <v>1728</v>
      </c>
      <c r="J64">
        <f>IF(SUM(E64,G64,H64)=0,"",SUM(E64,G64,H64))</f>
        <v/>
      </c>
    </row>
    <row r="65" ht="15" customHeight="1" s="25">
      <c r="A65" t="inlineStr">
        <is>
          <t>2026-08-17</t>
        </is>
      </c>
      <c r="B65" t="inlineStr">
        <is>
          <t>Concurrent F</t>
        </is>
      </c>
      <c r="C65" t="n">
        <v>4.1</v>
      </c>
      <c r="D65" t="n">
        <v>1379</v>
      </c>
      <c r="G65" t="n">
        <v>976</v>
      </c>
      <c r="J65">
        <f>IF(SUM(E65,G65,H65)=0,"",SUM(E65,G65,H65))</f>
        <v/>
      </c>
    </row>
    <row r="66" ht="15" customHeight="1" s="25">
      <c r="A66" t="inlineStr">
        <is>
          <t>2026-08-17</t>
        </is>
      </c>
      <c r="B66" t="inlineStr">
        <is>
          <t>Concurrent G</t>
        </is>
      </c>
      <c r="C66" t="n">
        <v>4.8</v>
      </c>
      <c r="D66" t="n">
        <v>397</v>
      </c>
      <c r="J66">
        <f>IF(SUM(E66,G66,H66)=0,"",SUM(E66,G66,H66))</f>
        <v/>
      </c>
    </row>
    <row r="67" ht="15" customHeight="1" s="25">
      <c r="A67" t="inlineStr">
        <is>
          <t>2026-08-24</t>
        </is>
      </c>
      <c r="B67" t="inlineStr">
        <is>
          <t>Le client</t>
        </is>
      </c>
      <c r="C67" t="n">
        <v>4.6</v>
      </c>
      <c r="D67" t="n">
        <v>773</v>
      </c>
      <c r="E67" t="n">
        <v>1911</v>
      </c>
      <c r="F67" t="n">
        <v>307</v>
      </c>
      <c r="G67" t="n">
        <v>3443</v>
      </c>
      <c r="H67" t="n">
        <v>563</v>
      </c>
      <c r="I67" t="n">
        <v>19</v>
      </c>
      <c r="J67">
        <f>IF(SUM(E67,G67,H67)=0,"",SUM(E67,G67,H67))</f>
        <v/>
      </c>
    </row>
    <row r="68" ht="15" customHeight="1" s="25">
      <c r="A68" t="inlineStr">
        <is>
          <t>2026-08-24</t>
        </is>
      </c>
      <c r="B68" t="inlineStr">
        <is>
          <t>Concurrent A</t>
        </is>
      </c>
      <c r="C68" t="n">
        <v>4.9</v>
      </c>
      <c r="D68" t="n">
        <v>2031</v>
      </c>
      <c r="E68" t="n">
        <v>2714</v>
      </c>
      <c r="F68" t="n">
        <v>285</v>
      </c>
      <c r="J68">
        <f>IF(SUM(E68,G68,H68)=0,"",SUM(E68,G68,H68))</f>
        <v/>
      </c>
      <c r="K68" t="inlineStr">
        <is>
          <t>FB non scrapable ; pas de TikTok</t>
        </is>
      </c>
    </row>
    <row r="69" ht="15" customHeight="1" s="25">
      <c r="A69" t="inlineStr">
        <is>
          <t>2026-08-24</t>
        </is>
      </c>
      <c r="B69" t="inlineStr">
        <is>
          <t>Concurrent B</t>
        </is>
      </c>
      <c r="C69" t="n">
        <v>4.9</v>
      </c>
      <c r="D69" t="n">
        <v>497</v>
      </c>
      <c r="E69" t="n">
        <v>2439</v>
      </c>
      <c r="F69" t="n">
        <v>323</v>
      </c>
      <c r="G69" t="n">
        <v>1052</v>
      </c>
      <c r="H69" t="n">
        <v>749</v>
      </c>
      <c r="I69" t="n">
        <v>158</v>
      </c>
      <c r="J69">
        <f>IF(SUM(E69,G69,H69)=0,"",SUM(E69,G69,H69))</f>
        <v/>
      </c>
      <c r="K69" t="inlineStr">
        <is>
          <t>Vue max TikTok 429 100 (vidéo du 10/07)</t>
        </is>
      </c>
    </row>
    <row r="70" ht="15" customHeight="1" s="25">
      <c r="A70" t="inlineStr">
        <is>
          <t>2026-08-24</t>
        </is>
      </c>
      <c r="B70" t="inlineStr">
        <is>
          <t>Concurrent C</t>
        </is>
      </c>
      <c r="C70" t="n">
        <v>4.6</v>
      </c>
      <c r="D70" t="n">
        <v>894</v>
      </c>
      <c r="J70">
        <f>IF(SUM(E70,G70,H70)=0,"",SUM(E70,G70,H70))</f>
        <v/>
      </c>
      <c r="K70" t="inlineStr">
        <is>
          <t>IG non tenté ; FB non récupéré (not_available) ; pas de TikTok</t>
        </is>
      </c>
    </row>
    <row r="71" ht="15" customHeight="1" s="25">
      <c r="A71" t="inlineStr">
        <is>
          <t>2026-08-24</t>
        </is>
      </c>
      <c r="B71" t="inlineStr">
        <is>
          <t>Concurrent D</t>
        </is>
      </c>
      <c r="C71" t="n">
        <v>4.4</v>
      </c>
      <c r="D71" t="n">
        <v>583</v>
      </c>
      <c r="E71" t="n">
        <v>1490</v>
      </c>
      <c r="F71" t="n">
        <v>507</v>
      </c>
      <c r="G71" t="n">
        <v>1736</v>
      </c>
      <c r="J71">
        <f>IF(SUM(E71,G71,H71)=0,"",SUM(E71,G71,H71))</f>
        <v/>
      </c>
      <c r="K71" t="inlineStr">
        <is>
          <t>Pas de TikTok</t>
        </is>
      </c>
    </row>
    <row r="72" ht="15" customHeight="1" s="25">
      <c r="A72" t="inlineStr">
        <is>
          <t>2026-08-24</t>
        </is>
      </c>
      <c r="B72" t="inlineStr">
        <is>
          <t>Concurrent E</t>
        </is>
      </c>
      <c r="C72" t="n">
        <v>4.1</v>
      </c>
      <c r="D72" t="n">
        <v>516</v>
      </c>
      <c r="E72" t="n">
        <v>2510</v>
      </c>
      <c r="F72" t="n">
        <v>512</v>
      </c>
      <c r="G72" t="n">
        <v>1729</v>
      </c>
      <c r="J72">
        <f>IF(SUM(E72,G72,H72)=0,"",SUM(E72,G72,H72))</f>
        <v/>
      </c>
      <c r="K72" t="inlineStr">
        <is>
          <t>Pas de TikTok</t>
        </is>
      </c>
    </row>
    <row r="73" ht="15" customHeight="1" s="25">
      <c r="A73" t="inlineStr">
        <is>
          <t>2026-08-24</t>
        </is>
      </c>
      <c r="B73" t="inlineStr">
        <is>
          <t>Concurrent F</t>
        </is>
      </c>
      <c r="C73" t="n">
        <v>4.1</v>
      </c>
      <c r="D73" t="n">
        <v>1382</v>
      </c>
      <c r="G73" t="n">
        <v>976</v>
      </c>
      <c r="J73">
        <f>IF(SUM(E73,G73,H73)=0,"",SUM(E73,G73,H73))</f>
        <v/>
      </c>
      <c r="K73" t="inlineStr">
        <is>
          <t>IG national exclu</t>
        </is>
      </c>
    </row>
    <row r="74" ht="15" customHeight="1" s="25">
      <c r="A74" t="inlineStr">
        <is>
          <t>2026-08-24</t>
        </is>
      </c>
      <c r="B74" t="inlineStr">
        <is>
          <t>Concurrent G</t>
        </is>
      </c>
      <c r="C74" t="n">
        <v>4.8</v>
      </c>
      <c r="D74" t="n">
        <v>413</v>
      </c>
      <c r="J74">
        <f>IF(SUM(E74,G74,H74)=0,"",SUM(E74,G74,H74))</f>
        <v/>
      </c>
      <c r="K74" t="inlineStr">
        <is>
          <t>IG+FB nationaux exclus</t>
        </is>
      </c>
    </row>
    <row r="75" ht="15" customHeight="1" s="25">
      <c r="A75" t="inlineStr">
        <is>
          <t>2026-08-31</t>
        </is>
      </c>
      <c r="B75" t="inlineStr">
        <is>
          <t>Le client</t>
        </is>
      </c>
      <c r="C75" t="n">
        <v>4.6</v>
      </c>
      <c r="D75" t="n">
        <v>774</v>
      </c>
      <c r="E75" t="n">
        <v>1933</v>
      </c>
      <c r="F75" t="n">
        <v>308</v>
      </c>
      <c r="G75" t="n">
        <v>3441</v>
      </c>
      <c r="H75" t="n">
        <v>568</v>
      </c>
      <c r="I75" t="n">
        <v>19</v>
      </c>
      <c r="J75">
        <f>IF(SUM(E75,G75,H75)=0,"",SUM(E75,G75,H75))</f>
        <v/>
      </c>
      <c r="K75" t="inlineStr">
        <is>
          <t>Vidéo TikTok du 12/08 à 2 995 vues ; TikTok +5 abonnés ; IG +22 vs S-08-24</t>
        </is>
      </c>
    </row>
    <row r="76" ht="15" customHeight="1" s="25">
      <c r="A76" t="inlineStr">
        <is>
          <t>2026-08-31</t>
        </is>
      </c>
      <c r="B76" t="inlineStr">
        <is>
          <t>Concurrent A</t>
        </is>
      </c>
      <c r="C76" t="n">
        <v>4.9</v>
      </c>
      <c r="D76" t="n">
        <v>2036</v>
      </c>
      <c r="E76" t="n">
        <v>2717</v>
      </c>
      <c r="F76" t="n">
        <v>287</v>
      </c>
      <c r="J76">
        <f>IF(SUM(E76,G76,H76)=0,"",SUM(E76,G76,H76))</f>
        <v/>
      </c>
      <c r="K76" t="inlineStr">
        <is>
          <t>FB non scrapable ; pas de TikTok</t>
        </is>
      </c>
    </row>
    <row r="77" ht="15" customHeight="1" s="25">
      <c r="A77" t="inlineStr">
        <is>
          <t>2026-08-31</t>
        </is>
      </c>
      <c r="B77" t="inlineStr">
        <is>
          <t>Concurrent B</t>
        </is>
      </c>
      <c r="C77" t="n">
        <v>4.9</v>
      </c>
      <c r="D77" t="n">
        <v>499</v>
      </c>
      <c r="E77" t="n">
        <v>2453</v>
      </c>
      <c r="F77" t="n">
        <v>327</v>
      </c>
      <c r="G77" t="n">
        <v>1056</v>
      </c>
      <c r="H77" t="n">
        <v>774</v>
      </c>
      <c r="I77" t="n">
        <v>162</v>
      </c>
      <c r="J77">
        <f>IF(SUM(E77,G77,H77)=0,"",SUM(E77,G77,H77))</f>
        <v/>
      </c>
      <c r="K77" t="inlineStr">
        <is>
          <t>Vue max TikTok 429 200 (vidéo du 10/07) ; 3 vidéos fin août ; TikTok +25 abonnés</t>
        </is>
      </c>
    </row>
    <row r="78" ht="15" customHeight="1" s="25">
      <c r="A78" t="inlineStr">
        <is>
          <t>2026-08-31</t>
        </is>
      </c>
      <c r="B78" t="inlineStr">
        <is>
          <t>Concurrent C</t>
        </is>
      </c>
      <c r="C78" t="n">
        <v>4.6</v>
      </c>
      <c r="D78" t="n">
        <v>899</v>
      </c>
      <c r="J78">
        <f>IF(SUM(E78,G78,H78)=0,"",SUM(E78,G78,H78))</f>
        <v/>
      </c>
      <c r="K78" t="inlineStr">
        <is>
          <t>IG non tenté ; FB non récupéré (not_available) ; pas de TikTok ; +5 avis Google</t>
        </is>
      </c>
    </row>
    <row r="79" ht="15" customHeight="1" s="25">
      <c r="A79" t="inlineStr">
        <is>
          <t>2026-08-31</t>
        </is>
      </c>
      <c r="B79" t="inlineStr">
        <is>
          <t>Concurrent D</t>
        </is>
      </c>
      <c r="C79" t="n">
        <v>4.4</v>
      </c>
      <c r="D79" t="n">
        <v>584</v>
      </c>
      <c r="E79" t="n">
        <v>1490</v>
      </c>
      <c r="F79" t="n">
        <v>507</v>
      </c>
      <c r="G79" t="n">
        <v>1737</v>
      </c>
      <c r="J79">
        <f>IF(SUM(E79,G79,H79)=0,"",SUM(E79,G79,H79))</f>
        <v/>
      </c>
      <c r="K79" t="inlineStr">
        <is>
          <t>Pas de TikTok</t>
        </is>
      </c>
    </row>
    <row r="80" ht="15" customHeight="1" s="25">
      <c r="A80" t="inlineStr">
        <is>
          <t>2026-08-31</t>
        </is>
      </c>
      <c r="B80" t="inlineStr">
        <is>
          <t>Concurrent E</t>
        </is>
      </c>
      <c r="C80" t="n">
        <v>4.1</v>
      </c>
      <c r="D80" t="n">
        <v>516</v>
      </c>
      <c r="E80" t="n">
        <v>2513</v>
      </c>
      <c r="F80" t="n">
        <v>514</v>
      </c>
      <c r="G80" t="n">
        <v>1729</v>
      </c>
      <c r="J80">
        <f>IF(SUM(E80,G80,H80)=0,"",SUM(E80,G80,H80))</f>
        <v/>
      </c>
      <c r="K80" t="inlineStr">
        <is>
          <t>Pas de TikTok</t>
        </is>
      </c>
    </row>
    <row r="81" ht="15" customHeight="1" s="25">
      <c r="A81" t="inlineStr">
        <is>
          <t>2026-08-31</t>
        </is>
      </c>
      <c r="B81" t="inlineStr">
        <is>
          <t>Concurrent F</t>
        </is>
      </c>
      <c r="C81" t="n">
        <v>4.1</v>
      </c>
      <c r="D81" t="n">
        <v>1387</v>
      </c>
      <c r="G81" t="n">
        <v>976</v>
      </c>
      <c r="J81">
        <f>IF(SUM(E81,G81,H81)=0,"",SUM(E81,G81,H81))</f>
        <v/>
      </c>
      <c r="K81" t="inlineStr">
        <is>
          <t>IG national exclu ; pas de TikTok</t>
        </is>
      </c>
    </row>
    <row r="82" ht="15" customHeight="1" s="25">
      <c r="A82" t="inlineStr">
        <is>
          <t>2026-08-31</t>
        </is>
      </c>
      <c r="B82" t="inlineStr">
        <is>
          <t>Concurrent G</t>
        </is>
      </c>
      <c r="C82" t="n">
        <v>4.8</v>
      </c>
      <c r="D82" t="n">
        <v>436</v>
      </c>
      <c r="J82">
        <f>IF(SUM(E82,G82,H82)=0,"",SUM(E82,G82,H82))</f>
        <v/>
      </c>
      <c r="K82" t="inlineStr">
        <is>
          <t>IG+FB nationaux exclus ; pas de TikTok ; +23 avis Google</t>
        </is>
      </c>
    </row>
    <row r="83">
      <c r="A83" t="inlineStr">
        <is>
          <t>2026-09-07</t>
        </is>
      </c>
      <c r="B83" t="inlineStr">
        <is>
          <t>Le client</t>
        </is>
      </c>
      <c r="C83" t="n">
        <v>4.6</v>
      </c>
      <c r="D83" t="n">
        <v>775</v>
      </c>
      <c r="E83" t="n">
        <v>1949</v>
      </c>
      <c r="F83" t="n">
        <v>308</v>
      </c>
      <c r="G83" t="n">
        <v>3441</v>
      </c>
      <c r="H83" t="n">
        <v>569</v>
      </c>
      <c r="I83" t="n">
        <v>19</v>
      </c>
      <c r="J83">
        <f>IF(SUM(E83,G83,H83)=0,"",SUM(E83,G83,H83))</f>
        <v/>
      </c>
      <c r="K83" t="inlineStr">
        <is>
          <t>TikTok +1 abonné ; IG +16 vs S-08-31 ; vidéo du 12/08 à 3 335 vues (+340) ; +1 avis Google</t>
        </is>
      </c>
    </row>
    <row r="84" ht="15" customHeight="1" s="25">
      <c r="A84" t="inlineStr">
        <is>
          <t>2026-09-07</t>
        </is>
      </c>
      <c r="B84" t="inlineStr">
        <is>
          <t>Concurrent A</t>
        </is>
      </c>
      <c r="C84" t="n">
        <v>4.9</v>
      </c>
      <c r="D84" t="n">
        <v>2038</v>
      </c>
      <c r="E84" t="n">
        <v>2722</v>
      </c>
      <c r="F84" t="n">
        <v>288</v>
      </c>
      <c r="J84">
        <f>IF(SUM(E84,G84,H84)=0,"",SUM(E84,G84,H84))</f>
        <v/>
      </c>
      <c r="K84" t="inlineStr">
        <is>
          <t>FB non scrapable ; pas de TikTok ; IG +5 ; +2 avis Google</t>
        </is>
      </c>
    </row>
    <row r="85">
      <c r="A85" t="inlineStr">
        <is>
          <t>2026-09-07</t>
        </is>
      </c>
      <c r="B85" t="inlineStr">
        <is>
          <t>Concurrent B</t>
        </is>
      </c>
      <c r="C85" t="n">
        <v>4.9</v>
      </c>
      <c r="D85" t="n">
        <v>499</v>
      </c>
      <c r="E85" t="n">
        <v>2458</v>
      </c>
      <c r="F85" t="n">
        <v>331</v>
      </c>
      <c r="G85" t="n">
        <v>1056</v>
      </c>
      <c r="H85" t="n">
        <v>792</v>
      </c>
      <c r="I85" t="n">
        <v>164</v>
      </c>
      <c r="J85">
        <f>IF(SUM(E85,G85,H85)=0,"",SUM(E85,G85,H85))</f>
        <v/>
      </c>
      <c r="K85" t="inlineStr">
        <is>
          <t>TikTok +18 abonnés / +2 vidéos ; 3 vidéos du 01 au 05/09 ; vue max 429 200 (vidéo du 10/07)</t>
        </is>
      </c>
    </row>
    <row r="86">
      <c r="A86" t="inlineStr">
        <is>
          <t>2026-09-07</t>
        </is>
      </c>
      <c r="B86" t="inlineStr">
        <is>
          <t>Concurrent C</t>
        </is>
      </c>
      <c r="C86" t="n">
        <v>4.6</v>
      </c>
      <c r="D86" t="n">
        <v>899</v>
      </c>
      <c r="J86">
        <f>IF(SUM(E86,G86,H86)=0,"",SUM(E86,G86,H86))</f>
        <v/>
      </c>
      <c r="K86" t="inlineStr">
        <is>
          <t>IG non tenté (compte non identifié) ; FB non récupéré (not_available) ; pas de TikTok</t>
        </is>
      </c>
    </row>
    <row r="87">
      <c r="A87" t="inlineStr">
        <is>
          <t>2026-09-07</t>
        </is>
      </c>
      <c r="B87" t="inlineStr">
        <is>
          <t>Concurrent D</t>
        </is>
      </c>
      <c r="C87" t="n">
        <v>4.4</v>
      </c>
      <c r="D87" t="n">
        <v>586</v>
      </c>
      <c r="E87" t="n">
        <v>1492</v>
      </c>
      <c r="F87" t="n">
        <v>507</v>
      </c>
      <c r="G87" t="n">
        <v>1736</v>
      </c>
      <c r="J87">
        <f>IF(SUM(E87,G87,H87)=0,"",SUM(E87,G87,H87))</f>
        <v/>
      </c>
      <c r="K87" t="inlineStr">
        <is>
          <t>Pas de TikTok ; IG +2 / FB -1 ; +2 avis Google</t>
        </is>
      </c>
    </row>
    <row r="88">
      <c r="A88" t="inlineStr">
        <is>
          <t>2026-09-07</t>
        </is>
      </c>
      <c r="B88" t="inlineStr">
        <is>
          <t>Concurrent E</t>
        </is>
      </c>
      <c r="C88" t="n">
        <v>4.1</v>
      </c>
      <c r="D88" t="n">
        <v>516</v>
      </c>
      <c r="E88" t="n">
        <v>2512</v>
      </c>
      <c r="F88" t="n">
        <v>514</v>
      </c>
      <c r="G88" t="n">
        <v>1728</v>
      </c>
      <c r="J88">
        <f>IF(SUM(E88,G88,H88)=0,"",SUM(E88,G88,H88))</f>
        <v/>
      </c>
      <c r="K88" t="inlineStr">
        <is>
          <t>Pas de TikTok ; IG -1 / FB -1 ; avis Google stables</t>
        </is>
      </c>
    </row>
    <row r="89">
      <c r="A89" t="inlineStr">
        <is>
          <t>2026-09-07</t>
        </is>
      </c>
      <c r="B89" t="inlineStr">
        <is>
          <t>Concurrent F</t>
        </is>
      </c>
      <c r="C89" t="n">
        <v>4.1</v>
      </c>
      <c r="D89" t="n">
        <v>1387</v>
      </c>
      <c r="G89" t="n">
        <v>976</v>
      </c>
      <c r="J89">
        <f>IF(SUM(E89,G89,H89)=0,"",SUM(E89,G89,H89))</f>
        <v/>
      </c>
      <c r="K89" t="inlineStr">
        <is>
          <t>IG national exclu ; pas de TikTok ; FB stable</t>
        </is>
      </c>
    </row>
    <row r="90">
      <c r="A90" t="inlineStr">
        <is>
          <t>2026-09-07</t>
        </is>
      </c>
      <c r="B90" t="inlineStr">
        <is>
          <t>Concurrent G</t>
        </is>
      </c>
      <c r="C90" t="n">
        <v>4.8</v>
      </c>
      <c r="D90" t="n">
        <v>442</v>
      </c>
      <c r="J90">
        <f>IF(SUM(E90,G90,H90)=0,"",SUM(E90,G90,H90))</f>
        <v/>
      </c>
      <c r="K90" t="inlineStr">
        <is>
          <t>IG+FB nationaux exclus ; pas de TikTok ; +6 avis Google</t>
        </is>
      </c>
    </row>
    <row r="92">
      <c r="A92" s="26" t="inlineStr">
        <is>
          <t>Chiffres bruts (collecte automatisée, 24/06/2026). Complexes anonymisés pour diffusion.</t>
        </is>
      </c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zoomScaleNormal="100" workbookViewId="0">
      <selection activeCell="D9" sqref="D9"/>
    </sheetView>
  </sheetViews>
  <sheetFormatPr baseColWidth="10" defaultColWidth="8.7109375" defaultRowHeight="15"/>
  <cols>
    <col width="16" customWidth="1" style="25" min="1" max="2"/>
    <col width="17" customWidth="1" style="25" min="3" max="3"/>
    <col width="16" customWidth="1" style="25" min="4" max="4"/>
    <col width="17" customWidth="1" style="25" min="5" max="5"/>
    <col width="16" customWidth="1" style="25" min="6" max="6"/>
  </cols>
  <sheetData>
    <row r="1" ht="25.5" customHeight="1" s="25">
      <c r="A1" s="24" t="inlineStr">
        <is>
          <t>Tendance % depuis le début du reporting</t>
        </is>
      </c>
      <c r="B1" s="24" t="n"/>
      <c r="C1" s="24" t="n"/>
      <c r="D1" s="24" t="n"/>
      <c r="E1" s="24" t="n"/>
      <c r="F1" s="24" t="n"/>
    </row>
    <row r="2" ht="15" customHeight="1" s="25">
      <c r="A2" s="26" t="inlineStr">
        <is>
          <t>Évolution en % entre la 1ʳᵉ et la dernière semaine. Vert=hausse, Rouge=baisse. Visible dès la 2ᵉ semaine.</t>
        </is>
      </c>
      <c r="B2" s="26" t="n"/>
      <c r="C2" s="26" t="n"/>
      <c r="D2" s="26" t="n"/>
      <c r="E2" s="26" t="n"/>
      <c r="F2" s="26" t="n"/>
    </row>
    <row r="3" ht="15" customHeight="1" s="25">
      <c r="A3" s="2" t="inlineStr">
        <is>
          <t>Complexe</t>
        </is>
      </c>
      <c r="B3" s="2" t="inlineStr">
        <is>
          <t>Δ% Avis Google</t>
        </is>
      </c>
      <c r="C3" s="2" t="inlineStr">
        <is>
          <t>Δ% Abonnés Insta</t>
        </is>
      </c>
      <c r="D3" s="2" t="inlineStr">
        <is>
          <t>Δ% Abonnés FB</t>
        </is>
      </c>
      <c r="E3" s="2" t="inlineStr">
        <is>
          <t>Δ% Abonnés TikTok</t>
        </is>
      </c>
      <c r="F3" s="2" t="inlineStr">
        <is>
          <t>Δ% Total abonnés</t>
        </is>
      </c>
    </row>
    <row r="4" ht="15" customHeight="1" s="25">
      <c r="A4" s="4" t="inlineStr">
        <is>
          <t>Le client</t>
        </is>
      </c>
      <c r="B4" s="12">
        <f>IFERROR(IF(OR(INDEX('Relevé hebdo'!$D$3:$D$2000,MATCH($A4,'Relevé hebdo'!$B$3:$B$2000,0))="",INDEX('Relevé hebdo'!$D$3:$D$2000,MATCH($A4,'Relevé hebdo'!$B$3:$B$2000,0))=0),"",LOOKUP(2,1/(('Relevé hebdo'!$B$3:$B$2000=$A4)*('Relevé hebdo'!$D$3:$D$2000&lt;&gt;"")),'Relevé hebdo'!$D$3:$D$2000)/INDEX('Relevé hebdo'!$D$3:$D$2000,MATCH($A4,'Relevé hebdo'!$B$3:$B$2000,0))-1),"")</f>
        <v/>
      </c>
      <c r="C4" s="12">
        <f>IFERROR(IF(OR(INDEX('Relevé hebdo'!$E$3:$E$2000,MATCH($A4,'Relevé hebdo'!$B$3:$B$2000,0))="",INDEX('Relevé hebdo'!$E$3:$E$2000,MATCH($A4,'Relevé hebdo'!$B$3:$B$2000,0))=0),"",LOOKUP(2,1/(('Relevé hebdo'!$B$3:$B$2000=$A4)*('Relevé hebdo'!$E$3:$E$2000&lt;&gt;"")),'Relevé hebdo'!$E$3:$E$2000)/INDEX('Relevé hebdo'!$E$3:$E$2000,MATCH($A4,'Relevé hebdo'!$B$3:$B$2000,0))-1),"")</f>
        <v/>
      </c>
      <c r="D4" s="12">
        <f>IFERROR(IF(OR(INDEX('Relevé hebdo'!$G$3:$G$2000,MATCH($A4,'Relevé hebdo'!$B$3:$B$2000,0))="",INDEX('Relevé hebdo'!$G$3:$G$2000,MATCH($A4,'Relevé hebdo'!$B$3:$B$2000,0))=0),"",LOOKUP(2,1/(('Relevé hebdo'!$B$3:$B$2000=$A4)*('Relevé hebdo'!$G$3:$G$2000&lt;&gt;"")),'Relevé hebdo'!$G$3:$G$2000)/INDEX('Relevé hebdo'!$G$3:$G$2000,MATCH($A4,'Relevé hebdo'!$B$3:$B$2000,0))-1),"")</f>
        <v/>
      </c>
      <c r="E4" s="12">
        <f>IFERROR(IF(OR(INDEX('Relevé hebdo'!$H$3:$H$2000,MATCH($A4,'Relevé hebdo'!$B$3:$B$2000,0))="",INDEX('Relevé hebdo'!$H$3:$H$2000,MATCH($A4,'Relevé hebdo'!$B$3:$B$2000,0))=0),"",LOOKUP(2,1/(('Relevé hebdo'!$B$3:$B$2000=$A4)*('Relevé hebdo'!$H$3:$H$2000&lt;&gt;"")),'Relevé hebdo'!$H$3:$H$2000)/INDEX('Relevé hebdo'!$H$3:$H$2000,MATCH($A4,'Relevé hebdo'!$B$3:$B$2000,0))-1),"")</f>
        <v/>
      </c>
      <c r="F4" s="12">
        <f>IFERROR(IF(OR(INDEX('Relevé hebdo'!$J$3:$J$2000,MATCH($A4,'Relevé hebdo'!$B$3:$B$2000,0))="",INDEX('Relevé hebdo'!$J$3:$J$2000,MATCH($A4,'Relevé hebdo'!$B$3:$B$2000,0))=0),"",LOOKUP(2,1/(('Relevé hebdo'!$B$3:$B$2000=$A4)*('Relevé hebdo'!$J$3:$J$2000&lt;&gt;"")),'Relevé hebdo'!$J$3:$J$2000)/INDEX('Relevé hebdo'!$J$3:$J$2000,MATCH($A4,'Relevé hebdo'!$B$3:$B$2000,0))-1),"")</f>
        <v/>
      </c>
    </row>
    <row r="5" ht="15" customHeight="1" s="25">
      <c r="A5" s="8" t="inlineStr">
        <is>
          <t>Concurrent A</t>
        </is>
      </c>
      <c r="B5" s="13">
        <f>IFERROR(IF(OR(INDEX('Relevé hebdo'!$D$3:$D$2000,MATCH($A5,'Relevé hebdo'!$B$3:$B$2000,0))="",INDEX('Relevé hebdo'!$D$3:$D$2000,MATCH($A5,'Relevé hebdo'!$B$3:$B$2000,0))=0),"",LOOKUP(2,1/(('Relevé hebdo'!$B$3:$B$2000=$A5)*('Relevé hebdo'!$D$3:$D$2000&lt;&gt;"")),'Relevé hebdo'!$D$3:$D$2000)/INDEX('Relevé hebdo'!$D$3:$D$2000,MATCH($A5,'Relevé hebdo'!$B$3:$B$2000,0))-1),"")</f>
        <v/>
      </c>
      <c r="C5" s="13">
        <f>IFERROR(IF(OR(INDEX('Relevé hebdo'!$E$3:$E$2000,MATCH($A5,'Relevé hebdo'!$B$3:$B$2000,0))="",INDEX('Relevé hebdo'!$E$3:$E$2000,MATCH($A5,'Relevé hebdo'!$B$3:$B$2000,0))=0),"",LOOKUP(2,1/(('Relevé hebdo'!$B$3:$B$2000=$A5)*('Relevé hebdo'!$E$3:$E$2000&lt;&gt;"")),'Relevé hebdo'!$E$3:$E$2000)/INDEX('Relevé hebdo'!$E$3:$E$2000,MATCH($A5,'Relevé hebdo'!$B$3:$B$2000,0))-1),"")</f>
        <v/>
      </c>
      <c r="D5" s="13">
        <f>IFERROR(IF(OR(INDEX('Relevé hebdo'!$G$3:$G$2000,MATCH($A5,'Relevé hebdo'!$B$3:$B$2000,0))="",INDEX('Relevé hebdo'!$G$3:$G$2000,MATCH($A5,'Relevé hebdo'!$B$3:$B$2000,0))=0),"",LOOKUP(2,1/(('Relevé hebdo'!$B$3:$B$2000=$A5)*('Relevé hebdo'!$G$3:$G$2000&lt;&gt;"")),'Relevé hebdo'!$G$3:$G$2000)/INDEX('Relevé hebdo'!$G$3:$G$2000,MATCH($A5,'Relevé hebdo'!$B$3:$B$2000,0))-1),"")</f>
        <v/>
      </c>
      <c r="E5" s="13">
        <f>IFERROR(IF(OR(INDEX('Relevé hebdo'!$H$3:$H$2000,MATCH($A5,'Relevé hebdo'!$B$3:$B$2000,0))="",INDEX('Relevé hebdo'!$H$3:$H$2000,MATCH($A5,'Relevé hebdo'!$B$3:$B$2000,0))=0),"",LOOKUP(2,1/(('Relevé hebdo'!$B$3:$B$2000=$A5)*('Relevé hebdo'!$H$3:$H$2000&lt;&gt;"")),'Relevé hebdo'!$H$3:$H$2000)/INDEX('Relevé hebdo'!$H$3:$H$2000,MATCH($A5,'Relevé hebdo'!$B$3:$B$2000,0))-1),"")</f>
        <v/>
      </c>
      <c r="F5" s="13">
        <f>IFERROR(IF(OR(INDEX('Relevé hebdo'!$J$3:$J$2000,MATCH($A5,'Relevé hebdo'!$B$3:$B$2000,0))="",INDEX('Relevé hebdo'!$J$3:$J$2000,MATCH($A5,'Relevé hebdo'!$B$3:$B$2000,0))=0),"",LOOKUP(2,1/(('Relevé hebdo'!$B$3:$B$2000=$A5)*('Relevé hebdo'!$J$3:$J$2000&lt;&gt;"")),'Relevé hebdo'!$J$3:$J$2000)/INDEX('Relevé hebdo'!$J$3:$J$2000,MATCH($A5,'Relevé hebdo'!$B$3:$B$2000,0))-1),"")</f>
        <v/>
      </c>
    </row>
    <row r="6" ht="15" customHeight="1" s="25">
      <c r="A6" s="8" t="inlineStr">
        <is>
          <t>Concurrent B</t>
        </is>
      </c>
      <c r="B6" s="13">
        <f>IFERROR(IF(OR(INDEX('Relevé hebdo'!$D$3:$D$2000,MATCH($A6,'Relevé hebdo'!$B$3:$B$2000,0))="",INDEX('Relevé hebdo'!$D$3:$D$2000,MATCH($A6,'Relevé hebdo'!$B$3:$B$2000,0))=0),"",LOOKUP(2,1/(('Relevé hebdo'!$B$3:$B$2000=$A6)*('Relevé hebdo'!$D$3:$D$2000&lt;&gt;"")),'Relevé hebdo'!$D$3:$D$2000)/INDEX('Relevé hebdo'!$D$3:$D$2000,MATCH($A6,'Relevé hebdo'!$B$3:$B$2000,0))-1),"")</f>
        <v/>
      </c>
      <c r="C6" s="13">
        <f>IFERROR(IF(OR(INDEX('Relevé hebdo'!$E$3:$E$2000,MATCH($A6,'Relevé hebdo'!$B$3:$B$2000,0))="",INDEX('Relevé hebdo'!$E$3:$E$2000,MATCH($A6,'Relevé hebdo'!$B$3:$B$2000,0))=0),"",LOOKUP(2,1/(('Relevé hebdo'!$B$3:$B$2000=$A6)*('Relevé hebdo'!$E$3:$E$2000&lt;&gt;"")),'Relevé hebdo'!$E$3:$E$2000)/INDEX('Relevé hebdo'!$E$3:$E$2000,MATCH($A6,'Relevé hebdo'!$B$3:$B$2000,0))-1),"")</f>
        <v/>
      </c>
      <c r="D6" s="13">
        <f>IFERROR(IF(OR(INDEX('Relevé hebdo'!$G$3:$G$2000,MATCH($A6,'Relevé hebdo'!$B$3:$B$2000,0))="",INDEX('Relevé hebdo'!$G$3:$G$2000,MATCH($A6,'Relevé hebdo'!$B$3:$B$2000,0))=0),"",LOOKUP(2,1/(('Relevé hebdo'!$B$3:$B$2000=$A6)*('Relevé hebdo'!$G$3:$G$2000&lt;&gt;"")),'Relevé hebdo'!$G$3:$G$2000)/INDEX('Relevé hebdo'!$G$3:$G$2000,MATCH($A6,'Relevé hebdo'!$B$3:$B$2000,0))-1),"")</f>
        <v/>
      </c>
      <c r="E6" s="13">
        <f>IFERROR(IF(OR(INDEX('Relevé hebdo'!$H$3:$H$2000,MATCH($A6,'Relevé hebdo'!$B$3:$B$2000,0))="",INDEX('Relevé hebdo'!$H$3:$H$2000,MATCH($A6,'Relevé hebdo'!$B$3:$B$2000,0))=0),"",LOOKUP(2,1/(('Relevé hebdo'!$B$3:$B$2000=$A6)*('Relevé hebdo'!$H$3:$H$2000&lt;&gt;"")),'Relevé hebdo'!$H$3:$H$2000)/INDEX('Relevé hebdo'!$H$3:$H$2000,MATCH($A6,'Relevé hebdo'!$B$3:$B$2000,0))-1),"")</f>
        <v/>
      </c>
      <c r="F6" s="13">
        <f>IFERROR(IF(OR(INDEX('Relevé hebdo'!$J$3:$J$2000,MATCH($A6,'Relevé hebdo'!$B$3:$B$2000,0))="",INDEX('Relevé hebdo'!$J$3:$J$2000,MATCH($A6,'Relevé hebdo'!$B$3:$B$2000,0))=0),"",LOOKUP(2,1/(('Relevé hebdo'!$B$3:$B$2000=$A6)*('Relevé hebdo'!$J$3:$J$2000&lt;&gt;"")),'Relevé hebdo'!$J$3:$J$2000)/INDEX('Relevé hebdo'!$J$3:$J$2000,MATCH($A6,'Relevé hebdo'!$B$3:$B$2000,0))-1),"")</f>
        <v/>
      </c>
    </row>
    <row r="7" ht="15" customHeight="1" s="25">
      <c r="A7" s="8" t="inlineStr">
        <is>
          <t>Concurrent C</t>
        </is>
      </c>
      <c r="B7" s="13">
        <f>IFERROR(IF(OR(INDEX('Relevé hebdo'!$D$3:$D$2000,MATCH($A7,'Relevé hebdo'!$B$3:$B$2000,0))="",INDEX('Relevé hebdo'!$D$3:$D$2000,MATCH($A7,'Relevé hebdo'!$B$3:$B$2000,0))=0),"",LOOKUP(2,1/(('Relevé hebdo'!$B$3:$B$2000=$A7)*('Relevé hebdo'!$D$3:$D$2000&lt;&gt;"")),'Relevé hebdo'!$D$3:$D$2000)/INDEX('Relevé hebdo'!$D$3:$D$2000,MATCH($A7,'Relevé hebdo'!$B$3:$B$2000,0))-1),"")</f>
        <v/>
      </c>
      <c r="C7" s="13">
        <f>IFERROR(IF(OR(INDEX('Relevé hebdo'!$E$3:$E$2000,MATCH($A7,'Relevé hebdo'!$B$3:$B$2000,0))="",INDEX('Relevé hebdo'!$E$3:$E$2000,MATCH($A7,'Relevé hebdo'!$B$3:$B$2000,0))=0),"",LOOKUP(2,1/(('Relevé hebdo'!$B$3:$B$2000=$A7)*('Relevé hebdo'!$E$3:$E$2000&lt;&gt;"")),'Relevé hebdo'!$E$3:$E$2000)/INDEX('Relevé hebdo'!$E$3:$E$2000,MATCH($A7,'Relevé hebdo'!$B$3:$B$2000,0))-1),"")</f>
        <v/>
      </c>
      <c r="D7" s="13">
        <f>IFERROR(IF(OR(INDEX('Relevé hebdo'!$G$3:$G$2000,MATCH($A7,'Relevé hebdo'!$B$3:$B$2000,0))="",INDEX('Relevé hebdo'!$G$3:$G$2000,MATCH($A7,'Relevé hebdo'!$B$3:$B$2000,0))=0),"",LOOKUP(2,1/(('Relevé hebdo'!$B$3:$B$2000=$A7)*('Relevé hebdo'!$G$3:$G$2000&lt;&gt;"")),'Relevé hebdo'!$G$3:$G$2000)/INDEX('Relevé hebdo'!$G$3:$G$2000,MATCH($A7,'Relevé hebdo'!$B$3:$B$2000,0))-1),"")</f>
        <v/>
      </c>
      <c r="E7" s="13">
        <f>IFERROR(IF(OR(INDEX('Relevé hebdo'!$H$3:$H$2000,MATCH($A7,'Relevé hebdo'!$B$3:$B$2000,0))="",INDEX('Relevé hebdo'!$H$3:$H$2000,MATCH($A7,'Relevé hebdo'!$B$3:$B$2000,0))=0),"",LOOKUP(2,1/(('Relevé hebdo'!$B$3:$B$2000=$A7)*('Relevé hebdo'!$H$3:$H$2000&lt;&gt;"")),'Relevé hebdo'!$H$3:$H$2000)/INDEX('Relevé hebdo'!$H$3:$H$2000,MATCH($A7,'Relevé hebdo'!$B$3:$B$2000,0))-1),"")</f>
        <v/>
      </c>
      <c r="F7" s="13">
        <f>IFERROR(IF(OR(INDEX('Relevé hebdo'!$J$3:$J$2000,MATCH($A7,'Relevé hebdo'!$B$3:$B$2000,0))="",INDEX('Relevé hebdo'!$J$3:$J$2000,MATCH($A7,'Relevé hebdo'!$B$3:$B$2000,0))=0),"",LOOKUP(2,1/(('Relevé hebdo'!$B$3:$B$2000=$A7)*('Relevé hebdo'!$J$3:$J$2000&lt;&gt;"")),'Relevé hebdo'!$J$3:$J$2000)/INDEX('Relevé hebdo'!$J$3:$J$2000,MATCH($A7,'Relevé hebdo'!$B$3:$B$2000,0))-1),"")</f>
        <v/>
      </c>
    </row>
    <row r="8" ht="15" customHeight="1" s="25">
      <c r="A8" s="8" t="inlineStr">
        <is>
          <t>Concurrent D</t>
        </is>
      </c>
      <c r="B8" s="13">
        <f>IFERROR(IF(OR(INDEX('Relevé hebdo'!$D$3:$D$2000,MATCH($A8,'Relevé hebdo'!$B$3:$B$2000,0))="",INDEX('Relevé hebdo'!$D$3:$D$2000,MATCH($A8,'Relevé hebdo'!$B$3:$B$2000,0))=0),"",LOOKUP(2,1/(('Relevé hebdo'!$B$3:$B$2000=$A8)*('Relevé hebdo'!$D$3:$D$2000&lt;&gt;"")),'Relevé hebdo'!$D$3:$D$2000)/INDEX('Relevé hebdo'!$D$3:$D$2000,MATCH($A8,'Relevé hebdo'!$B$3:$B$2000,0))-1),"")</f>
        <v/>
      </c>
      <c r="C8" s="13">
        <f>IFERROR(IF(OR(INDEX('Relevé hebdo'!$E$3:$E$2000,MATCH($A8,'Relevé hebdo'!$B$3:$B$2000,0))="",INDEX('Relevé hebdo'!$E$3:$E$2000,MATCH($A8,'Relevé hebdo'!$B$3:$B$2000,0))=0),"",LOOKUP(2,1/(('Relevé hebdo'!$B$3:$B$2000=$A8)*('Relevé hebdo'!$E$3:$E$2000&lt;&gt;"")),'Relevé hebdo'!$E$3:$E$2000)/INDEX('Relevé hebdo'!$E$3:$E$2000,MATCH($A8,'Relevé hebdo'!$B$3:$B$2000,0))-1),"")</f>
        <v/>
      </c>
      <c r="D8" s="13">
        <f>IFERROR(IF(OR(INDEX('Relevé hebdo'!$G$3:$G$2000,MATCH($A8,'Relevé hebdo'!$B$3:$B$2000,0))="",INDEX('Relevé hebdo'!$G$3:$G$2000,MATCH($A8,'Relevé hebdo'!$B$3:$B$2000,0))=0),"",LOOKUP(2,1/(('Relevé hebdo'!$B$3:$B$2000=$A8)*('Relevé hebdo'!$G$3:$G$2000&lt;&gt;"")),'Relevé hebdo'!$G$3:$G$2000)/INDEX('Relevé hebdo'!$G$3:$G$2000,MATCH($A8,'Relevé hebdo'!$B$3:$B$2000,0))-1),"")</f>
        <v/>
      </c>
      <c r="E8" s="13">
        <f>IFERROR(IF(OR(INDEX('Relevé hebdo'!$H$3:$H$2000,MATCH($A8,'Relevé hebdo'!$B$3:$B$2000,0))="",INDEX('Relevé hebdo'!$H$3:$H$2000,MATCH($A8,'Relevé hebdo'!$B$3:$B$2000,0))=0),"",LOOKUP(2,1/(('Relevé hebdo'!$B$3:$B$2000=$A8)*('Relevé hebdo'!$H$3:$H$2000&lt;&gt;"")),'Relevé hebdo'!$H$3:$H$2000)/INDEX('Relevé hebdo'!$H$3:$H$2000,MATCH($A8,'Relevé hebdo'!$B$3:$B$2000,0))-1),"")</f>
        <v/>
      </c>
      <c r="F8" s="13">
        <f>IFERROR(IF(OR(INDEX('Relevé hebdo'!$J$3:$J$2000,MATCH($A8,'Relevé hebdo'!$B$3:$B$2000,0))="",INDEX('Relevé hebdo'!$J$3:$J$2000,MATCH($A8,'Relevé hebdo'!$B$3:$B$2000,0))=0),"",LOOKUP(2,1/(('Relevé hebdo'!$B$3:$B$2000=$A8)*('Relevé hebdo'!$J$3:$J$2000&lt;&gt;"")),'Relevé hebdo'!$J$3:$J$2000)/INDEX('Relevé hebdo'!$J$3:$J$2000,MATCH($A8,'Relevé hebdo'!$B$3:$B$2000,0))-1),"")</f>
        <v/>
      </c>
    </row>
    <row r="9" ht="15" customHeight="1" s="25">
      <c r="A9" s="8" t="inlineStr">
        <is>
          <t>Concurrent E</t>
        </is>
      </c>
      <c r="B9" s="13">
        <f>IFERROR(IF(OR(INDEX('Relevé hebdo'!$D$3:$D$2000,MATCH($A9,'Relevé hebdo'!$B$3:$B$2000,0))="",INDEX('Relevé hebdo'!$D$3:$D$2000,MATCH($A9,'Relevé hebdo'!$B$3:$B$2000,0))=0),"",LOOKUP(2,1/(('Relevé hebdo'!$B$3:$B$2000=$A9)*('Relevé hebdo'!$D$3:$D$2000&lt;&gt;"")),'Relevé hebdo'!$D$3:$D$2000)/INDEX('Relevé hebdo'!$D$3:$D$2000,MATCH($A9,'Relevé hebdo'!$B$3:$B$2000,0))-1),"")</f>
        <v/>
      </c>
      <c r="C9" s="13">
        <f>IFERROR(IF(OR(INDEX('Relevé hebdo'!$E$3:$E$2000,MATCH($A9,'Relevé hebdo'!$B$3:$B$2000,0))="",INDEX('Relevé hebdo'!$E$3:$E$2000,MATCH($A9,'Relevé hebdo'!$B$3:$B$2000,0))=0),"",LOOKUP(2,1/(('Relevé hebdo'!$B$3:$B$2000=$A9)*('Relevé hebdo'!$E$3:$E$2000&lt;&gt;"")),'Relevé hebdo'!$E$3:$E$2000)/INDEX('Relevé hebdo'!$E$3:$E$2000,MATCH($A9,'Relevé hebdo'!$B$3:$B$2000,0))-1),"")</f>
        <v/>
      </c>
      <c r="D9" s="13">
        <f>IFERROR(IF(OR(INDEX('Relevé hebdo'!$G$3:$G$2000,MATCH($A9,'Relevé hebdo'!$B$3:$B$2000,0))="",INDEX('Relevé hebdo'!$G$3:$G$2000,MATCH($A9,'Relevé hebdo'!$B$3:$B$2000,0))=0),"",LOOKUP(2,1/(('Relevé hebdo'!$B$3:$B$2000=$A9)*('Relevé hebdo'!$G$3:$G$2000&lt;&gt;"")),'Relevé hebdo'!$G$3:$G$2000)/INDEX('Relevé hebdo'!$G$3:$G$2000,MATCH($A9,'Relevé hebdo'!$B$3:$B$2000,0))-1),"")</f>
        <v/>
      </c>
      <c r="E9" s="13">
        <f>IFERROR(IF(OR(INDEX('Relevé hebdo'!$H$3:$H$2000,MATCH($A9,'Relevé hebdo'!$B$3:$B$2000,0))="",INDEX('Relevé hebdo'!$H$3:$H$2000,MATCH($A9,'Relevé hebdo'!$B$3:$B$2000,0))=0),"",LOOKUP(2,1/(('Relevé hebdo'!$B$3:$B$2000=$A9)*('Relevé hebdo'!$H$3:$H$2000&lt;&gt;"")),'Relevé hebdo'!$H$3:$H$2000)/INDEX('Relevé hebdo'!$H$3:$H$2000,MATCH($A9,'Relevé hebdo'!$B$3:$B$2000,0))-1),"")</f>
        <v/>
      </c>
      <c r="F9" s="13">
        <f>IFERROR(IF(OR(INDEX('Relevé hebdo'!$J$3:$J$2000,MATCH($A9,'Relevé hebdo'!$B$3:$B$2000,0))="",INDEX('Relevé hebdo'!$J$3:$J$2000,MATCH($A9,'Relevé hebdo'!$B$3:$B$2000,0))=0),"",LOOKUP(2,1/(('Relevé hebdo'!$B$3:$B$2000=$A9)*('Relevé hebdo'!$J$3:$J$2000&lt;&gt;"")),'Relevé hebdo'!$J$3:$J$2000)/INDEX('Relevé hebdo'!$J$3:$J$2000,MATCH($A9,'Relevé hebdo'!$B$3:$B$2000,0))-1),"")</f>
        <v/>
      </c>
    </row>
    <row r="10" ht="15" customHeight="1" s="25">
      <c r="A10" s="8" t="inlineStr">
        <is>
          <t>Concurrent F</t>
        </is>
      </c>
      <c r="B10" s="13">
        <f>IFERROR(IF(OR(INDEX('Relevé hebdo'!$D$3:$D$2000,MATCH($A10,'Relevé hebdo'!$B$3:$B$2000,0))="",INDEX('Relevé hebdo'!$D$3:$D$2000,MATCH($A10,'Relevé hebdo'!$B$3:$B$2000,0))=0),"",LOOKUP(2,1/(('Relevé hebdo'!$B$3:$B$2000=$A10)*('Relevé hebdo'!$D$3:$D$2000&lt;&gt;"")),'Relevé hebdo'!$D$3:$D$2000)/INDEX('Relevé hebdo'!$D$3:$D$2000,MATCH($A10,'Relevé hebdo'!$B$3:$B$2000,0))-1),"")</f>
        <v/>
      </c>
      <c r="C10" s="13">
        <f>IFERROR(IF(OR(INDEX('Relevé hebdo'!$E$3:$E$2000,MATCH($A10,'Relevé hebdo'!$B$3:$B$2000,0))="",INDEX('Relevé hebdo'!$E$3:$E$2000,MATCH($A10,'Relevé hebdo'!$B$3:$B$2000,0))=0),"",LOOKUP(2,1/(('Relevé hebdo'!$B$3:$B$2000=$A10)*('Relevé hebdo'!$E$3:$E$2000&lt;&gt;"")),'Relevé hebdo'!$E$3:$E$2000)/INDEX('Relevé hebdo'!$E$3:$E$2000,MATCH($A10,'Relevé hebdo'!$B$3:$B$2000,0))-1),"")</f>
        <v/>
      </c>
      <c r="D10" s="13">
        <f>IFERROR(IF(OR(INDEX('Relevé hebdo'!$G$3:$G$2000,MATCH($A10,'Relevé hebdo'!$B$3:$B$2000,0))="",INDEX('Relevé hebdo'!$G$3:$G$2000,MATCH($A10,'Relevé hebdo'!$B$3:$B$2000,0))=0),"",LOOKUP(2,1/(('Relevé hebdo'!$B$3:$B$2000=$A10)*('Relevé hebdo'!$G$3:$G$2000&lt;&gt;"")),'Relevé hebdo'!$G$3:$G$2000)/INDEX('Relevé hebdo'!$G$3:$G$2000,MATCH($A10,'Relevé hebdo'!$B$3:$B$2000,0))-1),"")</f>
        <v/>
      </c>
      <c r="E10" s="13">
        <f>IFERROR(IF(OR(INDEX('Relevé hebdo'!$H$3:$H$2000,MATCH($A10,'Relevé hebdo'!$B$3:$B$2000,0))="",INDEX('Relevé hebdo'!$H$3:$H$2000,MATCH($A10,'Relevé hebdo'!$B$3:$B$2000,0))=0),"",LOOKUP(2,1/(('Relevé hebdo'!$B$3:$B$2000=$A10)*('Relevé hebdo'!$H$3:$H$2000&lt;&gt;"")),'Relevé hebdo'!$H$3:$H$2000)/INDEX('Relevé hebdo'!$H$3:$H$2000,MATCH($A10,'Relevé hebdo'!$B$3:$B$2000,0))-1),"")</f>
        <v/>
      </c>
      <c r="F10" s="13">
        <f>IFERROR(IF(OR(INDEX('Relevé hebdo'!$J$3:$J$2000,MATCH($A10,'Relevé hebdo'!$B$3:$B$2000,0))="",INDEX('Relevé hebdo'!$J$3:$J$2000,MATCH($A10,'Relevé hebdo'!$B$3:$B$2000,0))=0),"",LOOKUP(2,1/(('Relevé hebdo'!$B$3:$B$2000=$A10)*('Relevé hebdo'!$J$3:$J$2000&lt;&gt;"")),'Relevé hebdo'!$J$3:$J$2000)/INDEX('Relevé hebdo'!$J$3:$J$2000,MATCH($A10,'Relevé hebdo'!$B$3:$B$2000,0))-1),"")</f>
        <v/>
      </c>
    </row>
    <row r="11" ht="15" customHeight="1" s="25">
      <c r="A11" s="8" t="inlineStr">
        <is>
          <t>Concurrent G</t>
        </is>
      </c>
      <c r="B11" s="13">
        <f>IFERROR(IF(OR(INDEX('Relevé hebdo'!$D$3:$D$2000,MATCH($A11,'Relevé hebdo'!$B$3:$B$2000,0))="",INDEX('Relevé hebdo'!$D$3:$D$2000,MATCH($A11,'Relevé hebdo'!$B$3:$B$2000,0))=0),"",LOOKUP(2,1/(('Relevé hebdo'!$B$3:$B$2000=$A11)*('Relevé hebdo'!$D$3:$D$2000&lt;&gt;"")),'Relevé hebdo'!$D$3:$D$2000)/INDEX('Relevé hebdo'!$D$3:$D$2000,MATCH($A11,'Relevé hebdo'!$B$3:$B$2000,0))-1),"")</f>
        <v/>
      </c>
      <c r="C11" s="13">
        <f>IFERROR(IF(OR(INDEX('Relevé hebdo'!$E$3:$E$2000,MATCH($A11,'Relevé hebdo'!$B$3:$B$2000,0))="",INDEX('Relevé hebdo'!$E$3:$E$2000,MATCH($A11,'Relevé hebdo'!$B$3:$B$2000,0))=0),"",LOOKUP(2,1/(('Relevé hebdo'!$B$3:$B$2000=$A11)*('Relevé hebdo'!$E$3:$E$2000&lt;&gt;"")),'Relevé hebdo'!$E$3:$E$2000)/INDEX('Relevé hebdo'!$E$3:$E$2000,MATCH($A11,'Relevé hebdo'!$B$3:$B$2000,0))-1),"")</f>
        <v/>
      </c>
      <c r="D11" s="13">
        <f>IFERROR(IF(OR(INDEX('Relevé hebdo'!$G$3:$G$2000,MATCH($A11,'Relevé hebdo'!$B$3:$B$2000,0))="",INDEX('Relevé hebdo'!$G$3:$G$2000,MATCH($A11,'Relevé hebdo'!$B$3:$B$2000,0))=0),"",LOOKUP(2,1/(('Relevé hebdo'!$B$3:$B$2000=$A11)*('Relevé hebdo'!$G$3:$G$2000&lt;&gt;"")),'Relevé hebdo'!$G$3:$G$2000)/INDEX('Relevé hebdo'!$G$3:$G$2000,MATCH($A11,'Relevé hebdo'!$B$3:$B$2000,0))-1),"")</f>
        <v/>
      </c>
      <c r="E11" s="13">
        <f>IFERROR(IF(OR(INDEX('Relevé hebdo'!$H$3:$H$2000,MATCH($A11,'Relevé hebdo'!$B$3:$B$2000,0))="",INDEX('Relevé hebdo'!$H$3:$H$2000,MATCH($A11,'Relevé hebdo'!$B$3:$B$2000,0))=0),"",LOOKUP(2,1/(('Relevé hebdo'!$B$3:$B$2000=$A11)*('Relevé hebdo'!$H$3:$H$2000&lt;&gt;"")),'Relevé hebdo'!$H$3:$H$2000)/INDEX('Relevé hebdo'!$H$3:$H$2000,MATCH($A11,'Relevé hebdo'!$B$3:$B$2000,0))-1),"")</f>
        <v/>
      </c>
      <c r="F11" s="13">
        <f>IFERROR(IF(OR(INDEX('Relevé hebdo'!$J$3:$J$2000,MATCH($A11,'Relevé hebdo'!$B$3:$B$2000,0))="",INDEX('Relevé hebdo'!$J$3:$J$2000,MATCH($A11,'Relevé hebdo'!$B$3:$B$2000,0))=0),"",LOOKUP(2,1/(('Relevé hebdo'!$B$3:$B$2000=$A11)*('Relevé hebdo'!$J$3:$J$2000&lt;&gt;"")),'Relevé hebdo'!$J$3:$J$2000)/INDEX('Relevé hebdo'!$J$3:$J$2000,MATCH($A11,'Relevé hebdo'!$B$3:$B$2000,0))-1),"")</f>
        <v/>
      </c>
    </row>
  </sheetData>
  <conditionalFormatting sqref="B4:F11">
    <cfRule type="cellIs" priority="2" operator="greaterThan" dxfId="4">
      <formula>0</formula>
    </cfRule>
    <cfRule type="cellIs" priority="3" operator="lessThan" dxfId="3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zoomScaleNormal="100" workbookViewId="0">
      <selection activeCell="P13" sqref="P13"/>
    </sheetView>
  </sheetViews>
  <sheetFormatPr baseColWidth="10" defaultColWidth="8.7109375" defaultRowHeight="15"/>
  <cols>
    <col width="18" customWidth="1" style="25" min="1" max="1"/>
    <col width="12" customWidth="1" style="25" min="2" max="9"/>
    <col width="14" customWidth="1" style="25" min="10" max="10"/>
  </cols>
  <sheetData>
    <row r="1" ht="25.5" customHeight="1" s="25">
      <c r="A1" s="24" t="inlineStr">
        <is>
          <t>Comparatif — complexes en colonnes · Position = rang de Le client</t>
        </is>
      </c>
    </row>
    <row r="3" ht="15" customHeight="1" s="25">
      <c r="A3" s="27" t="inlineStr">
        <is>
          <t>DÉPART — semaine du 2026-06-22 (référence)</t>
        </is>
      </c>
    </row>
    <row r="4" ht="21.75" customHeight="1" s="25">
      <c r="A4" s="2" t="inlineStr">
        <is>
          <t>Indicateur</t>
        </is>
      </c>
      <c r="B4" s="14" t="inlineStr">
        <is>
          <t>Le client</t>
        </is>
      </c>
      <c r="C4" s="2" t="inlineStr">
        <is>
          <t>Concurrent A</t>
        </is>
      </c>
      <c r="D4" s="2" t="inlineStr">
        <is>
          <t>Concurrent B</t>
        </is>
      </c>
      <c r="E4" s="2" t="inlineStr">
        <is>
          <t>Concurrent C</t>
        </is>
      </c>
      <c r="F4" s="2" t="inlineStr">
        <is>
          <t>Concurrent D</t>
        </is>
      </c>
      <c r="G4" s="2" t="inlineStr">
        <is>
          <t>Concurrent E</t>
        </is>
      </c>
      <c r="H4" s="2" t="inlineStr">
        <is>
          <t>Concurrent F</t>
        </is>
      </c>
      <c r="I4" s="2" t="inlineStr">
        <is>
          <t>Concurrent G</t>
        </is>
      </c>
      <c r="J4" s="2" t="inlineStr">
        <is>
          <t>Position Le client</t>
        </is>
      </c>
    </row>
    <row r="5" ht="15" customHeight="1" s="25">
      <c r="A5" s="15" t="inlineStr">
        <is>
          <t>Note Google /5</t>
        </is>
      </c>
      <c r="B5" s="16">
        <f>IFERROR(IF(INDEX('Relevé hebdo'!$C$3:$C$2000,MATCH("Le client",'Relevé hebdo'!$B$3:$B$2000,0))=0,"",INDEX('Relevé hebdo'!$C$3:$C$2000,MATCH("Le client",'Relevé hebdo'!$B$3:$B$2000,0))),"")</f>
        <v/>
      </c>
      <c r="C5" s="9">
        <f>IFERROR(IF(INDEX('Relevé hebdo'!$C$3:$C$2000,MATCH("Concurrent A",'Relevé hebdo'!$B$3:$B$2000,0))=0,"",INDEX('Relevé hebdo'!$C$3:$C$2000,MATCH("Concurrent A",'Relevé hebdo'!$B$3:$B$2000,0))),"")</f>
        <v/>
      </c>
      <c r="D5" s="9">
        <f>IFERROR(IF(INDEX('Relevé hebdo'!$C$3:$C$2000,MATCH("Concurrent B",'Relevé hebdo'!$B$3:$B$2000,0))=0,"",INDEX('Relevé hebdo'!$C$3:$C$2000,MATCH("Concurrent B",'Relevé hebdo'!$B$3:$B$2000,0))),"")</f>
        <v/>
      </c>
      <c r="E5" s="9">
        <f>IFERROR(IF(INDEX('Relevé hebdo'!$C$3:$C$2000,MATCH("Concurrent C",'Relevé hebdo'!$B$3:$B$2000,0))=0,"",INDEX('Relevé hebdo'!$C$3:$C$2000,MATCH("Concurrent C",'Relevé hebdo'!$B$3:$B$2000,0))),"")</f>
        <v/>
      </c>
      <c r="F5" s="9">
        <f>IFERROR(IF(INDEX('Relevé hebdo'!$C$3:$C$2000,MATCH("Concurrent D",'Relevé hebdo'!$B$3:$B$2000,0))=0,"",INDEX('Relevé hebdo'!$C$3:$C$2000,MATCH("Concurrent D",'Relevé hebdo'!$B$3:$B$2000,0))),"")</f>
        <v/>
      </c>
      <c r="G5" s="9">
        <f>IFERROR(IF(INDEX('Relevé hebdo'!$C$3:$C$2000,MATCH("Concurrent E",'Relevé hebdo'!$B$3:$B$2000,0))=0,"",INDEX('Relevé hebdo'!$C$3:$C$2000,MATCH("Concurrent E",'Relevé hebdo'!$B$3:$B$2000,0))),"")</f>
        <v/>
      </c>
      <c r="H5" s="9">
        <f>IFERROR(IF(INDEX('Relevé hebdo'!$C$3:$C$2000,MATCH("Concurrent F",'Relevé hebdo'!$B$3:$B$2000,0))=0,"",INDEX('Relevé hebdo'!$C$3:$C$2000,MATCH("Concurrent F",'Relevé hebdo'!$B$3:$B$2000,0))),"")</f>
        <v/>
      </c>
      <c r="I5" s="9">
        <f>IFERROR(IF(INDEX('Relevé hebdo'!$C$3:$C$2000,MATCH("Concurrent G",'Relevé hebdo'!$B$3:$B$2000,0))=0,"",INDEX('Relevé hebdo'!$C$3:$C$2000,MATCH("Concurrent G",'Relevé hebdo'!$B$3:$B$2000,0))),"")</f>
        <v/>
      </c>
      <c r="J5" s="17">
        <f>IF(ISNUMBER(B5),SUMPRODUCT(($B5:$I5&gt;$B5)*ISNUMBER($B5:$I5))+1,"")</f>
        <v/>
      </c>
    </row>
    <row r="6" ht="15" customHeight="1" s="25">
      <c r="A6" s="15" t="inlineStr">
        <is>
          <t>Avis Google</t>
        </is>
      </c>
      <c r="B6" s="18">
        <f>IFERROR(IF(INDEX('Relevé hebdo'!$D$3:$D$2000,MATCH("Le client",'Relevé hebdo'!$B$3:$B$2000,0))=0,"",INDEX('Relevé hebdo'!$D$3:$D$2000,MATCH("Le client",'Relevé hebdo'!$B$3:$B$2000,0))),"")</f>
        <v/>
      </c>
      <c r="C6" s="19">
        <f>IFERROR(IF(INDEX('Relevé hebdo'!$D$3:$D$2000,MATCH("Concurrent A",'Relevé hebdo'!$B$3:$B$2000,0))=0,"",INDEX('Relevé hebdo'!$D$3:$D$2000,MATCH("Concurrent A",'Relevé hebdo'!$B$3:$B$2000,0))),"")</f>
        <v/>
      </c>
      <c r="D6" s="19">
        <f>IFERROR(IF(INDEX('Relevé hebdo'!$D$3:$D$2000,MATCH("Concurrent B",'Relevé hebdo'!$B$3:$B$2000,0))=0,"",INDEX('Relevé hebdo'!$D$3:$D$2000,MATCH("Concurrent B",'Relevé hebdo'!$B$3:$B$2000,0))),"")</f>
        <v/>
      </c>
      <c r="E6" s="19">
        <f>IFERROR(IF(INDEX('Relevé hebdo'!$D$3:$D$2000,MATCH("Concurrent C",'Relevé hebdo'!$B$3:$B$2000,0))=0,"",INDEX('Relevé hebdo'!$D$3:$D$2000,MATCH("Concurrent C",'Relevé hebdo'!$B$3:$B$2000,0))),"")</f>
        <v/>
      </c>
      <c r="F6" s="19">
        <f>IFERROR(IF(INDEX('Relevé hebdo'!$D$3:$D$2000,MATCH("Concurrent D",'Relevé hebdo'!$B$3:$B$2000,0))=0,"",INDEX('Relevé hebdo'!$D$3:$D$2000,MATCH("Concurrent D",'Relevé hebdo'!$B$3:$B$2000,0))),"")</f>
        <v/>
      </c>
      <c r="G6" s="19">
        <f>IFERROR(IF(INDEX('Relevé hebdo'!$D$3:$D$2000,MATCH("Concurrent E",'Relevé hebdo'!$B$3:$B$2000,0))=0,"",INDEX('Relevé hebdo'!$D$3:$D$2000,MATCH("Concurrent E",'Relevé hebdo'!$B$3:$B$2000,0))),"")</f>
        <v/>
      </c>
      <c r="H6" s="19">
        <f>IFERROR(IF(INDEX('Relevé hebdo'!$D$3:$D$2000,MATCH("Concurrent F",'Relevé hebdo'!$B$3:$B$2000,0))=0,"",INDEX('Relevé hebdo'!$D$3:$D$2000,MATCH("Concurrent F",'Relevé hebdo'!$B$3:$B$2000,0))),"")</f>
        <v/>
      </c>
      <c r="I6" s="19">
        <f>IFERROR(IF(INDEX('Relevé hebdo'!$D$3:$D$2000,MATCH("Concurrent G",'Relevé hebdo'!$B$3:$B$2000,0))=0,"",INDEX('Relevé hebdo'!$D$3:$D$2000,MATCH("Concurrent G",'Relevé hebdo'!$B$3:$B$2000,0))),"")</f>
        <v/>
      </c>
      <c r="J6" s="17">
        <f>IF(ISNUMBER(B6),SUMPRODUCT(($B6:$I6&gt;$B6)*ISNUMBER($B6:$I6))+1,"")</f>
        <v/>
      </c>
    </row>
    <row r="7" ht="15" customHeight="1" s="25">
      <c r="A7" s="15" t="inlineStr">
        <is>
          <t>Abonnés Instagram</t>
        </is>
      </c>
      <c r="B7" s="18">
        <f>IFERROR(IF(INDEX('Relevé hebdo'!$E$3:$E$2000,MATCH("Le client",'Relevé hebdo'!$B$3:$B$2000,0))=0,"",INDEX('Relevé hebdo'!$E$3:$E$2000,MATCH("Le client",'Relevé hebdo'!$B$3:$B$2000,0))),"")</f>
        <v/>
      </c>
      <c r="C7" s="19">
        <f>IFERROR(IF(INDEX('Relevé hebdo'!$E$3:$E$2000,MATCH("Concurrent A",'Relevé hebdo'!$B$3:$B$2000,0))=0,"",INDEX('Relevé hebdo'!$E$3:$E$2000,MATCH("Concurrent A",'Relevé hebdo'!$B$3:$B$2000,0))),"")</f>
        <v/>
      </c>
      <c r="D7" s="19">
        <f>IFERROR(IF(INDEX('Relevé hebdo'!$E$3:$E$2000,MATCH("Concurrent B",'Relevé hebdo'!$B$3:$B$2000,0))=0,"",INDEX('Relevé hebdo'!$E$3:$E$2000,MATCH("Concurrent B",'Relevé hebdo'!$B$3:$B$2000,0))),"")</f>
        <v/>
      </c>
      <c r="E7" s="19">
        <f>IFERROR(IF(INDEX('Relevé hebdo'!$E$3:$E$2000,MATCH("Concurrent C",'Relevé hebdo'!$B$3:$B$2000,0))=0,"",INDEX('Relevé hebdo'!$E$3:$E$2000,MATCH("Concurrent C",'Relevé hebdo'!$B$3:$B$2000,0))),"")</f>
        <v/>
      </c>
      <c r="F7" s="19">
        <f>IFERROR(IF(INDEX('Relevé hebdo'!$E$3:$E$2000,MATCH("Concurrent D",'Relevé hebdo'!$B$3:$B$2000,0))=0,"",INDEX('Relevé hebdo'!$E$3:$E$2000,MATCH("Concurrent D",'Relevé hebdo'!$B$3:$B$2000,0))),"")</f>
        <v/>
      </c>
      <c r="G7" s="19">
        <f>IFERROR(IF(INDEX('Relevé hebdo'!$E$3:$E$2000,MATCH("Concurrent E",'Relevé hebdo'!$B$3:$B$2000,0))=0,"",INDEX('Relevé hebdo'!$E$3:$E$2000,MATCH("Concurrent E",'Relevé hebdo'!$B$3:$B$2000,0))),"")</f>
        <v/>
      </c>
      <c r="H7" s="19">
        <f>IFERROR(IF(INDEX('Relevé hebdo'!$E$3:$E$2000,MATCH("Concurrent F",'Relevé hebdo'!$B$3:$B$2000,0))=0,"",INDEX('Relevé hebdo'!$E$3:$E$2000,MATCH("Concurrent F",'Relevé hebdo'!$B$3:$B$2000,0))),"")</f>
        <v/>
      </c>
      <c r="I7" s="19">
        <f>IFERROR(IF(INDEX('Relevé hebdo'!$E$3:$E$2000,MATCH("Concurrent G",'Relevé hebdo'!$B$3:$B$2000,0))=0,"",INDEX('Relevé hebdo'!$E$3:$E$2000,MATCH("Concurrent G",'Relevé hebdo'!$B$3:$B$2000,0))),"")</f>
        <v/>
      </c>
      <c r="J7" s="17">
        <f>IF(ISNUMBER(B7),SUMPRODUCT(($B7:$I7&gt;$B7)*ISNUMBER($B7:$I7))+1,"")</f>
        <v/>
      </c>
    </row>
    <row r="8" ht="15" customHeight="1" s="25">
      <c r="A8" s="15" t="inlineStr">
        <is>
          <t>Abonnés Facebook</t>
        </is>
      </c>
      <c r="B8" s="18">
        <f>IFERROR(IF(INDEX('Relevé hebdo'!$G$3:$G$2000,MATCH("Le client",'Relevé hebdo'!$B$3:$B$2000,0))=0,"",INDEX('Relevé hebdo'!$G$3:$G$2000,MATCH("Le client",'Relevé hebdo'!$B$3:$B$2000,0))),"")</f>
        <v/>
      </c>
      <c r="C8" s="19">
        <f>IFERROR(IF(INDEX('Relevé hebdo'!$G$3:$G$2000,MATCH("Concurrent A",'Relevé hebdo'!$B$3:$B$2000,0))=0,"",INDEX('Relevé hebdo'!$G$3:$G$2000,MATCH("Concurrent A",'Relevé hebdo'!$B$3:$B$2000,0))),"")</f>
        <v/>
      </c>
      <c r="D8" s="19">
        <f>IFERROR(IF(INDEX('Relevé hebdo'!$G$3:$G$2000,MATCH("Concurrent B",'Relevé hebdo'!$B$3:$B$2000,0))=0,"",INDEX('Relevé hebdo'!$G$3:$G$2000,MATCH("Concurrent B",'Relevé hebdo'!$B$3:$B$2000,0))),"")</f>
        <v/>
      </c>
      <c r="E8" s="19">
        <f>IFERROR(IF(INDEX('Relevé hebdo'!$G$3:$G$2000,MATCH("Concurrent C",'Relevé hebdo'!$B$3:$B$2000,0))=0,"",INDEX('Relevé hebdo'!$G$3:$G$2000,MATCH("Concurrent C",'Relevé hebdo'!$B$3:$B$2000,0))),"")</f>
        <v/>
      </c>
      <c r="F8" s="19">
        <f>IFERROR(IF(INDEX('Relevé hebdo'!$G$3:$G$2000,MATCH("Concurrent D",'Relevé hebdo'!$B$3:$B$2000,0))=0,"",INDEX('Relevé hebdo'!$G$3:$G$2000,MATCH("Concurrent D",'Relevé hebdo'!$B$3:$B$2000,0))),"")</f>
        <v/>
      </c>
      <c r="G8" s="19">
        <f>IFERROR(IF(INDEX('Relevé hebdo'!$G$3:$G$2000,MATCH("Concurrent E",'Relevé hebdo'!$B$3:$B$2000,0))=0,"",INDEX('Relevé hebdo'!$G$3:$G$2000,MATCH("Concurrent E",'Relevé hebdo'!$B$3:$B$2000,0))),"")</f>
        <v/>
      </c>
      <c r="H8" s="19">
        <f>IFERROR(IF(INDEX('Relevé hebdo'!$G$3:$G$2000,MATCH("Concurrent F",'Relevé hebdo'!$B$3:$B$2000,0))=0,"",INDEX('Relevé hebdo'!$G$3:$G$2000,MATCH("Concurrent F",'Relevé hebdo'!$B$3:$B$2000,0))),"")</f>
        <v/>
      </c>
      <c r="I8" s="19">
        <f>IFERROR(IF(INDEX('Relevé hebdo'!$G$3:$G$2000,MATCH("Concurrent G",'Relevé hebdo'!$B$3:$B$2000,0))=0,"",INDEX('Relevé hebdo'!$G$3:$G$2000,MATCH("Concurrent G",'Relevé hebdo'!$B$3:$B$2000,0))),"")</f>
        <v/>
      </c>
      <c r="J8" s="17">
        <f>IF(ISNUMBER(B8),SUMPRODUCT(($B8:$I8&gt;$B8)*ISNUMBER($B8:$I8))+1,"")</f>
        <v/>
      </c>
    </row>
    <row r="9" ht="15" customHeight="1" s="25">
      <c r="A9" s="15" t="inlineStr">
        <is>
          <t>Abonnés TikTok</t>
        </is>
      </c>
      <c r="B9" s="18">
        <f>IFERROR(IF(INDEX('Relevé hebdo'!$H$3:$H$2000,MATCH("Le client",'Relevé hebdo'!$B$3:$B$2000,0))=0,"",INDEX('Relevé hebdo'!$H$3:$H$2000,MATCH("Le client",'Relevé hebdo'!$B$3:$B$2000,0))),"")</f>
        <v/>
      </c>
      <c r="C9" s="19">
        <f>IFERROR(IF(INDEX('Relevé hebdo'!$H$3:$H$2000,MATCH("Concurrent A",'Relevé hebdo'!$B$3:$B$2000,0))=0,"",INDEX('Relevé hebdo'!$H$3:$H$2000,MATCH("Concurrent A",'Relevé hebdo'!$B$3:$B$2000,0))),"")</f>
        <v/>
      </c>
      <c r="D9" s="19">
        <f>IFERROR(IF(INDEX('Relevé hebdo'!$H$3:$H$2000,MATCH("Concurrent B",'Relevé hebdo'!$B$3:$B$2000,0))=0,"",INDEX('Relevé hebdo'!$H$3:$H$2000,MATCH("Concurrent B",'Relevé hebdo'!$B$3:$B$2000,0))),"")</f>
        <v/>
      </c>
      <c r="E9" s="19">
        <f>IFERROR(IF(INDEX('Relevé hebdo'!$H$3:$H$2000,MATCH("Concurrent C",'Relevé hebdo'!$B$3:$B$2000,0))=0,"",INDEX('Relevé hebdo'!$H$3:$H$2000,MATCH("Concurrent C",'Relevé hebdo'!$B$3:$B$2000,0))),"")</f>
        <v/>
      </c>
      <c r="F9" s="19">
        <f>IFERROR(IF(INDEX('Relevé hebdo'!$H$3:$H$2000,MATCH("Concurrent D",'Relevé hebdo'!$B$3:$B$2000,0))=0,"",INDEX('Relevé hebdo'!$H$3:$H$2000,MATCH("Concurrent D",'Relevé hebdo'!$B$3:$B$2000,0))),"")</f>
        <v/>
      </c>
      <c r="G9" s="19">
        <f>IFERROR(IF(INDEX('Relevé hebdo'!$H$3:$H$2000,MATCH("Concurrent E",'Relevé hebdo'!$B$3:$B$2000,0))=0,"",INDEX('Relevé hebdo'!$H$3:$H$2000,MATCH("Concurrent E",'Relevé hebdo'!$B$3:$B$2000,0))),"")</f>
        <v/>
      </c>
      <c r="H9" s="19">
        <f>IFERROR(IF(INDEX('Relevé hebdo'!$H$3:$H$2000,MATCH("Concurrent F",'Relevé hebdo'!$B$3:$B$2000,0))=0,"",INDEX('Relevé hebdo'!$H$3:$H$2000,MATCH("Concurrent F",'Relevé hebdo'!$B$3:$B$2000,0))),"")</f>
        <v/>
      </c>
      <c r="I9" s="19">
        <f>IFERROR(IF(INDEX('Relevé hebdo'!$H$3:$H$2000,MATCH("Concurrent G",'Relevé hebdo'!$B$3:$B$2000,0))=0,"",INDEX('Relevé hebdo'!$H$3:$H$2000,MATCH("Concurrent G",'Relevé hebdo'!$B$3:$B$2000,0))),"")</f>
        <v/>
      </c>
      <c r="J9" s="17">
        <f>IF(ISNUMBER(B9),SUMPRODUCT(($B9:$I9&gt;$B9)*ISNUMBER($B9:$I9))+1,"")</f>
        <v/>
      </c>
    </row>
    <row r="10" ht="15" customHeight="1" s="25">
      <c r="A10" s="15" t="inlineStr">
        <is>
          <t>Total abonnés</t>
        </is>
      </c>
      <c r="B10" s="18">
        <f>IFERROR(IF(INDEX('Relevé hebdo'!$J$3:$J$2000,MATCH("Le client",'Relevé hebdo'!$B$3:$B$2000,0))=0,"",INDEX('Relevé hebdo'!$J$3:$J$2000,MATCH("Le client",'Relevé hebdo'!$B$3:$B$2000,0))),"")</f>
        <v/>
      </c>
      <c r="C10" s="19">
        <f>IFERROR(IF(INDEX('Relevé hebdo'!$J$3:$J$2000,MATCH("Concurrent A",'Relevé hebdo'!$B$3:$B$2000,0))=0,"",INDEX('Relevé hebdo'!$J$3:$J$2000,MATCH("Concurrent A",'Relevé hebdo'!$B$3:$B$2000,0))),"")</f>
        <v/>
      </c>
      <c r="D10" s="19">
        <f>IFERROR(IF(INDEX('Relevé hebdo'!$J$3:$J$2000,MATCH("Concurrent B",'Relevé hebdo'!$B$3:$B$2000,0))=0,"",INDEX('Relevé hebdo'!$J$3:$J$2000,MATCH("Concurrent B",'Relevé hebdo'!$B$3:$B$2000,0))),"")</f>
        <v/>
      </c>
      <c r="E10" s="19">
        <f>IFERROR(IF(INDEX('Relevé hebdo'!$J$3:$J$2000,MATCH("Concurrent C",'Relevé hebdo'!$B$3:$B$2000,0))=0,"",INDEX('Relevé hebdo'!$J$3:$J$2000,MATCH("Concurrent C",'Relevé hebdo'!$B$3:$B$2000,0))),"")</f>
        <v/>
      </c>
      <c r="F10" s="19">
        <f>IFERROR(IF(INDEX('Relevé hebdo'!$J$3:$J$2000,MATCH("Concurrent D",'Relevé hebdo'!$B$3:$B$2000,0))=0,"",INDEX('Relevé hebdo'!$J$3:$J$2000,MATCH("Concurrent D",'Relevé hebdo'!$B$3:$B$2000,0))),"")</f>
        <v/>
      </c>
      <c r="G10" s="19">
        <f>IFERROR(IF(INDEX('Relevé hebdo'!$J$3:$J$2000,MATCH("Concurrent E",'Relevé hebdo'!$B$3:$B$2000,0))=0,"",INDEX('Relevé hebdo'!$J$3:$J$2000,MATCH("Concurrent E",'Relevé hebdo'!$B$3:$B$2000,0))),"")</f>
        <v/>
      </c>
      <c r="H10" s="19">
        <f>IFERROR(IF(INDEX('Relevé hebdo'!$J$3:$J$2000,MATCH("Concurrent F",'Relevé hebdo'!$B$3:$B$2000,0))=0,"",INDEX('Relevé hebdo'!$J$3:$J$2000,MATCH("Concurrent F",'Relevé hebdo'!$B$3:$B$2000,0))),"")</f>
        <v/>
      </c>
      <c r="I10" s="19">
        <f>IFERROR(IF(INDEX('Relevé hebdo'!$J$3:$J$2000,MATCH("Concurrent G",'Relevé hebdo'!$B$3:$B$2000,0))=0,"",INDEX('Relevé hebdo'!$J$3:$J$2000,MATCH("Concurrent G",'Relevé hebdo'!$B$3:$B$2000,0))),"")</f>
        <v/>
      </c>
      <c r="J10" s="17">
        <f>IF(ISNUMBER(B10),SUMPRODUCT(($B10:$I10&gt;$B10)*ISNUMBER($B10:$I10))+1,"")</f>
        <v/>
      </c>
    </row>
    <row r="12" ht="15" customHeight="1" s="25">
      <c r="A12" s="27" t="inlineStr">
        <is>
          <t>ACTUEL — dernière semaine (auto)</t>
        </is>
      </c>
    </row>
    <row r="13" ht="21.75" customHeight="1" s="25">
      <c r="A13" s="2" t="inlineStr">
        <is>
          <t>Indicateur</t>
        </is>
      </c>
      <c r="B13" s="14" t="inlineStr">
        <is>
          <t>Le client</t>
        </is>
      </c>
      <c r="C13" s="2" t="inlineStr">
        <is>
          <t>Concurrent A</t>
        </is>
      </c>
      <c r="D13" s="2" t="inlineStr">
        <is>
          <t>Concurrent B</t>
        </is>
      </c>
      <c r="E13" s="2" t="inlineStr">
        <is>
          <t>Concurrent C</t>
        </is>
      </c>
      <c r="F13" s="2" t="inlineStr">
        <is>
          <t>Concurrent D</t>
        </is>
      </c>
      <c r="G13" s="2" t="inlineStr">
        <is>
          <t>Concurrent E</t>
        </is>
      </c>
      <c r="H13" s="2" t="inlineStr">
        <is>
          <t>Concurrent F</t>
        </is>
      </c>
      <c r="I13" s="2" t="inlineStr">
        <is>
          <t>Concurrent G</t>
        </is>
      </c>
      <c r="J13" s="2" t="inlineStr">
        <is>
          <t>Position Le client</t>
        </is>
      </c>
    </row>
    <row r="14" ht="15" customHeight="1" s="25">
      <c r="A14" s="15" t="inlineStr">
        <is>
          <t>Note Google /5</t>
        </is>
      </c>
      <c r="B14" s="16">
        <f>IFERROR(LOOKUP(2,1/(('Relevé hebdo'!$B$3:$B$2000="Le client")*('Relevé hebdo'!$C$3:$C$2000&lt;&gt;"")),'Relevé hebdo'!$C$3:$C$2000),"")</f>
        <v/>
      </c>
      <c r="C14" s="9">
        <f>IFERROR(LOOKUP(2,1/(('Relevé hebdo'!$B$3:$B$2000="Concurrent A")*('Relevé hebdo'!$C$3:$C$2000&lt;&gt;"")),'Relevé hebdo'!$C$3:$C$2000),"")</f>
        <v/>
      </c>
      <c r="D14" s="9">
        <f>IFERROR(LOOKUP(2,1/(('Relevé hebdo'!$B$3:$B$2000="Concurrent B")*('Relevé hebdo'!$C$3:$C$2000&lt;&gt;"")),'Relevé hebdo'!$C$3:$C$2000),"")</f>
        <v/>
      </c>
      <c r="E14" s="9">
        <f>IFERROR(LOOKUP(2,1/(('Relevé hebdo'!$B$3:$B$2000="Concurrent C")*('Relevé hebdo'!$C$3:$C$2000&lt;&gt;"")),'Relevé hebdo'!$C$3:$C$2000),"")</f>
        <v/>
      </c>
      <c r="F14" s="9">
        <f>IFERROR(LOOKUP(2,1/(('Relevé hebdo'!$B$3:$B$2000="Concurrent D")*('Relevé hebdo'!$C$3:$C$2000&lt;&gt;"")),'Relevé hebdo'!$C$3:$C$2000),"")</f>
        <v/>
      </c>
      <c r="G14" s="9">
        <f>IFERROR(LOOKUP(2,1/(('Relevé hebdo'!$B$3:$B$2000="Concurrent E")*('Relevé hebdo'!$C$3:$C$2000&lt;&gt;"")),'Relevé hebdo'!$C$3:$C$2000),"")</f>
        <v/>
      </c>
      <c r="H14" s="9">
        <f>IFERROR(LOOKUP(2,1/(('Relevé hebdo'!$B$3:$B$2000="Concurrent F")*('Relevé hebdo'!$C$3:$C$2000&lt;&gt;"")),'Relevé hebdo'!$C$3:$C$2000),"")</f>
        <v/>
      </c>
      <c r="I14" s="9">
        <f>IFERROR(LOOKUP(2,1/(('Relevé hebdo'!$B$3:$B$2000="Concurrent G")*('Relevé hebdo'!$C$3:$C$2000&lt;&gt;"")),'Relevé hebdo'!$C$3:$C$2000),"")</f>
        <v/>
      </c>
      <c r="J14" s="17">
        <f>IF(ISNUMBER(B14),SUMPRODUCT(($B14:$I14&gt;$B14)*ISNUMBER($B14:$I14))+1,"")</f>
        <v/>
      </c>
    </row>
    <row r="15" ht="15" customHeight="1" s="25">
      <c r="A15" s="15" t="inlineStr">
        <is>
          <t>Avis Google</t>
        </is>
      </c>
      <c r="B15" s="18">
        <f>IFERROR(LOOKUP(2,1/(('Relevé hebdo'!$B$3:$B$2000="Le client")*('Relevé hebdo'!$D$3:$D$2000&lt;&gt;"")),'Relevé hebdo'!$D$3:$D$2000),"")</f>
        <v/>
      </c>
      <c r="C15" s="19">
        <f>IFERROR(LOOKUP(2,1/(('Relevé hebdo'!$B$3:$B$2000="Concurrent A")*('Relevé hebdo'!$D$3:$D$2000&lt;&gt;"")),'Relevé hebdo'!$D$3:$D$2000),"")</f>
        <v/>
      </c>
      <c r="D15" s="19">
        <f>IFERROR(LOOKUP(2,1/(('Relevé hebdo'!$B$3:$B$2000="Concurrent B")*('Relevé hebdo'!$D$3:$D$2000&lt;&gt;"")),'Relevé hebdo'!$D$3:$D$2000),"")</f>
        <v/>
      </c>
      <c r="E15" s="19">
        <f>IFERROR(LOOKUP(2,1/(('Relevé hebdo'!$B$3:$B$2000="Concurrent C")*('Relevé hebdo'!$D$3:$D$2000&lt;&gt;"")),'Relevé hebdo'!$D$3:$D$2000),"")</f>
        <v/>
      </c>
      <c r="F15" s="19">
        <f>IFERROR(LOOKUP(2,1/(('Relevé hebdo'!$B$3:$B$2000="Concurrent D")*('Relevé hebdo'!$D$3:$D$2000&lt;&gt;"")),'Relevé hebdo'!$D$3:$D$2000),"")</f>
        <v/>
      </c>
      <c r="G15" s="19">
        <f>IFERROR(LOOKUP(2,1/(('Relevé hebdo'!$B$3:$B$2000="Concurrent E")*('Relevé hebdo'!$D$3:$D$2000&lt;&gt;"")),'Relevé hebdo'!$D$3:$D$2000),"")</f>
        <v/>
      </c>
      <c r="H15" s="19">
        <f>IFERROR(LOOKUP(2,1/(('Relevé hebdo'!$B$3:$B$2000="Concurrent F")*('Relevé hebdo'!$D$3:$D$2000&lt;&gt;"")),'Relevé hebdo'!$D$3:$D$2000),"")</f>
        <v/>
      </c>
      <c r="I15" s="19">
        <f>IFERROR(LOOKUP(2,1/(('Relevé hebdo'!$B$3:$B$2000="Concurrent G")*('Relevé hebdo'!$D$3:$D$2000&lt;&gt;"")),'Relevé hebdo'!$D$3:$D$2000),"")</f>
        <v/>
      </c>
      <c r="J15" s="17">
        <f>IF(ISNUMBER(B15),SUMPRODUCT(($B15:$I15&gt;$B15)*ISNUMBER($B15:$I15))+1,"")</f>
        <v/>
      </c>
    </row>
    <row r="16" ht="15" customHeight="1" s="25">
      <c r="A16" s="15" t="inlineStr">
        <is>
          <t>Abonnés Instagram</t>
        </is>
      </c>
      <c r="B16" s="18">
        <f>IFERROR(LOOKUP(2,1/(('Relevé hebdo'!$B$3:$B$2000="Le client")*('Relevé hebdo'!$E$3:$E$2000&lt;&gt;"")),'Relevé hebdo'!$E$3:$E$2000),"")</f>
        <v/>
      </c>
      <c r="C16" s="19">
        <f>IFERROR(LOOKUP(2,1/(('Relevé hebdo'!$B$3:$B$2000="Concurrent A")*('Relevé hebdo'!$E$3:$E$2000&lt;&gt;"")),'Relevé hebdo'!$E$3:$E$2000),"")</f>
        <v/>
      </c>
      <c r="D16" s="19">
        <f>IFERROR(LOOKUP(2,1/(('Relevé hebdo'!$B$3:$B$2000="Concurrent B")*('Relevé hebdo'!$E$3:$E$2000&lt;&gt;"")),'Relevé hebdo'!$E$3:$E$2000),"")</f>
        <v/>
      </c>
      <c r="E16" s="19">
        <f>IFERROR(LOOKUP(2,1/(('Relevé hebdo'!$B$3:$B$2000="Concurrent C")*('Relevé hebdo'!$E$3:$E$2000&lt;&gt;"")),'Relevé hebdo'!$E$3:$E$2000),"")</f>
        <v/>
      </c>
      <c r="F16" s="19">
        <f>IFERROR(LOOKUP(2,1/(('Relevé hebdo'!$B$3:$B$2000="Concurrent D")*('Relevé hebdo'!$E$3:$E$2000&lt;&gt;"")),'Relevé hebdo'!$E$3:$E$2000),"")</f>
        <v/>
      </c>
      <c r="G16" s="19">
        <f>IFERROR(LOOKUP(2,1/(('Relevé hebdo'!$B$3:$B$2000="Concurrent E")*('Relevé hebdo'!$E$3:$E$2000&lt;&gt;"")),'Relevé hebdo'!$E$3:$E$2000),"")</f>
        <v/>
      </c>
      <c r="H16" s="19">
        <f>IFERROR(LOOKUP(2,1/(('Relevé hebdo'!$B$3:$B$2000="Concurrent F")*('Relevé hebdo'!$E$3:$E$2000&lt;&gt;"")),'Relevé hebdo'!$E$3:$E$2000),"")</f>
        <v/>
      </c>
      <c r="I16" s="19">
        <f>IFERROR(LOOKUP(2,1/(('Relevé hebdo'!$B$3:$B$2000="Concurrent G")*('Relevé hebdo'!$E$3:$E$2000&lt;&gt;"")),'Relevé hebdo'!$E$3:$E$2000),"")</f>
        <v/>
      </c>
      <c r="J16" s="17">
        <f>IF(ISNUMBER(B16),SUMPRODUCT(($B16:$I16&gt;$B16)*ISNUMBER($B16:$I16))+1,"")</f>
        <v/>
      </c>
    </row>
    <row r="17" ht="15" customHeight="1" s="25">
      <c r="A17" s="15" t="inlineStr">
        <is>
          <t>Abonnés Facebook</t>
        </is>
      </c>
      <c r="B17" s="18">
        <f>IFERROR(LOOKUP(2,1/(('Relevé hebdo'!$B$3:$B$2000="Le client")*('Relevé hebdo'!$G$3:$G$2000&lt;&gt;"")),'Relevé hebdo'!$G$3:$G$2000),"")</f>
        <v/>
      </c>
      <c r="C17" s="19">
        <f>IFERROR(LOOKUP(2,1/(('Relevé hebdo'!$B$3:$B$2000="Concurrent A")*('Relevé hebdo'!$G$3:$G$2000&lt;&gt;"")),'Relevé hebdo'!$G$3:$G$2000),"")</f>
        <v/>
      </c>
      <c r="D17" s="19">
        <f>IFERROR(LOOKUP(2,1/(('Relevé hebdo'!$B$3:$B$2000="Concurrent B")*('Relevé hebdo'!$G$3:$G$2000&lt;&gt;"")),'Relevé hebdo'!$G$3:$G$2000),"")</f>
        <v/>
      </c>
      <c r="E17" s="19">
        <f>IFERROR(LOOKUP(2,1/(('Relevé hebdo'!$B$3:$B$2000="Concurrent C")*('Relevé hebdo'!$G$3:$G$2000&lt;&gt;"")),'Relevé hebdo'!$G$3:$G$2000),"")</f>
        <v/>
      </c>
      <c r="F17" s="19">
        <f>IFERROR(LOOKUP(2,1/(('Relevé hebdo'!$B$3:$B$2000="Concurrent D")*('Relevé hebdo'!$G$3:$G$2000&lt;&gt;"")),'Relevé hebdo'!$G$3:$G$2000),"")</f>
        <v/>
      </c>
      <c r="G17" s="19">
        <f>IFERROR(LOOKUP(2,1/(('Relevé hebdo'!$B$3:$B$2000="Concurrent E")*('Relevé hebdo'!$G$3:$G$2000&lt;&gt;"")),'Relevé hebdo'!$G$3:$G$2000),"")</f>
        <v/>
      </c>
      <c r="H17" s="19">
        <f>IFERROR(LOOKUP(2,1/(('Relevé hebdo'!$B$3:$B$2000="Concurrent F")*('Relevé hebdo'!$G$3:$G$2000&lt;&gt;"")),'Relevé hebdo'!$G$3:$G$2000),"")</f>
        <v/>
      </c>
      <c r="I17" s="19">
        <f>IFERROR(LOOKUP(2,1/(('Relevé hebdo'!$B$3:$B$2000="Concurrent G")*('Relevé hebdo'!$G$3:$G$2000&lt;&gt;"")),'Relevé hebdo'!$G$3:$G$2000),"")</f>
        <v/>
      </c>
      <c r="J17" s="17">
        <f>IF(ISNUMBER(B17),SUMPRODUCT(($B17:$I17&gt;$B17)*ISNUMBER($B17:$I17))+1,"")</f>
        <v/>
      </c>
    </row>
    <row r="18" ht="15" customHeight="1" s="25">
      <c r="A18" s="15" t="inlineStr">
        <is>
          <t>Abonnés TikTok</t>
        </is>
      </c>
      <c r="B18" s="18">
        <f>IFERROR(LOOKUP(2,1/(('Relevé hebdo'!$B$3:$B$2000="Le client")*('Relevé hebdo'!$H$3:$H$2000&lt;&gt;"")),'Relevé hebdo'!$H$3:$H$2000),"")</f>
        <v/>
      </c>
      <c r="C18" s="19">
        <f>IFERROR(LOOKUP(2,1/(('Relevé hebdo'!$B$3:$B$2000="Concurrent A")*('Relevé hebdo'!$H$3:$H$2000&lt;&gt;"")),'Relevé hebdo'!$H$3:$H$2000),"")</f>
        <v/>
      </c>
      <c r="D18" s="19">
        <f>IFERROR(LOOKUP(2,1/(('Relevé hebdo'!$B$3:$B$2000="Concurrent B")*('Relevé hebdo'!$H$3:$H$2000&lt;&gt;"")),'Relevé hebdo'!$H$3:$H$2000),"")</f>
        <v/>
      </c>
      <c r="E18" s="19">
        <f>IFERROR(LOOKUP(2,1/(('Relevé hebdo'!$B$3:$B$2000="Concurrent C")*('Relevé hebdo'!$H$3:$H$2000&lt;&gt;"")),'Relevé hebdo'!$H$3:$H$2000),"")</f>
        <v/>
      </c>
      <c r="F18" s="19">
        <f>IFERROR(LOOKUP(2,1/(('Relevé hebdo'!$B$3:$B$2000="Concurrent D")*('Relevé hebdo'!$H$3:$H$2000&lt;&gt;"")),'Relevé hebdo'!$H$3:$H$2000),"")</f>
        <v/>
      </c>
      <c r="G18" s="19">
        <f>IFERROR(LOOKUP(2,1/(('Relevé hebdo'!$B$3:$B$2000="Concurrent E")*('Relevé hebdo'!$H$3:$H$2000&lt;&gt;"")),'Relevé hebdo'!$H$3:$H$2000),"")</f>
        <v/>
      </c>
      <c r="H18" s="19">
        <f>IFERROR(LOOKUP(2,1/(('Relevé hebdo'!$B$3:$B$2000="Concurrent F")*('Relevé hebdo'!$H$3:$H$2000&lt;&gt;"")),'Relevé hebdo'!$H$3:$H$2000),"")</f>
        <v/>
      </c>
      <c r="I18" s="19">
        <f>IFERROR(LOOKUP(2,1/(('Relevé hebdo'!$B$3:$B$2000="Concurrent G")*('Relevé hebdo'!$H$3:$H$2000&lt;&gt;"")),'Relevé hebdo'!$H$3:$H$2000),"")</f>
        <v/>
      </c>
      <c r="J18" s="17">
        <f>IF(ISNUMBER(B18),SUMPRODUCT(($B18:$I18&gt;$B18)*ISNUMBER($B18:$I18))+1,"")</f>
        <v/>
      </c>
    </row>
    <row r="19" ht="15" customHeight="1" s="25">
      <c r="A19" s="15" t="inlineStr">
        <is>
          <t>Total abonnés</t>
        </is>
      </c>
      <c r="B19" s="18">
        <f>IFERROR(LOOKUP(2,1/(('Relevé hebdo'!$B$3:$B$2000="Le client")*('Relevé hebdo'!$J$3:$J$2000&lt;&gt;"")),'Relevé hebdo'!$J$3:$J$2000),"")</f>
        <v/>
      </c>
      <c r="C19" s="19">
        <f>IFERROR(LOOKUP(2,1/(('Relevé hebdo'!$B$3:$B$2000="Concurrent A")*('Relevé hebdo'!$J$3:$J$2000&lt;&gt;"")),'Relevé hebdo'!$J$3:$J$2000),"")</f>
        <v/>
      </c>
      <c r="D19" s="19">
        <f>IFERROR(LOOKUP(2,1/(('Relevé hebdo'!$B$3:$B$2000="Concurrent B")*('Relevé hebdo'!$J$3:$J$2000&lt;&gt;"")),'Relevé hebdo'!$J$3:$J$2000),"")</f>
        <v/>
      </c>
      <c r="E19" s="19">
        <f>IFERROR(LOOKUP(2,1/(('Relevé hebdo'!$B$3:$B$2000="Concurrent C")*('Relevé hebdo'!$J$3:$J$2000&lt;&gt;"")),'Relevé hebdo'!$J$3:$J$2000),"")</f>
        <v/>
      </c>
      <c r="F19" s="19">
        <f>IFERROR(LOOKUP(2,1/(('Relevé hebdo'!$B$3:$B$2000="Concurrent D")*('Relevé hebdo'!$J$3:$J$2000&lt;&gt;"")),'Relevé hebdo'!$J$3:$J$2000),"")</f>
        <v/>
      </c>
      <c r="G19" s="19">
        <f>IFERROR(LOOKUP(2,1/(('Relevé hebdo'!$B$3:$B$2000="Concurrent E")*('Relevé hebdo'!$J$3:$J$2000&lt;&gt;"")),'Relevé hebdo'!$J$3:$J$2000),"")</f>
        <v/>
      </c>
      <c r="H19" s="19">
        <f>IFERROR(LOOKUP(2,1/(('Relevé hebdo'!$B$3:$B$2000="Concurrent F")*('Relevé hebdo'!$J$3:$J$2000&lt;&gt;"")),'Relevé hebdo'!$J$3:$J$2000),"")</f>
        <v/>
      </c>
      <c r="I19" s="19">
        <f>IFERROR(LOOKUP(2,1/(('Relevé hebdo'!$B$3:$B$2000="Concurrent G")*('Relevé hebdo'!$J$3:$J$2000&lt;&gt;"")),'Relevé hebdo'!$J$3:$J$2000),"")</f>
        <v/>
      </c>
      <c r="J19" s="17">
        <f>IF(ISNUMBER(B19),SUMPRODUCT(($B19:$I19&gt;$B19)*ISNUMBER($B19:$I19))+1,"")</f>
        <v/>
      </c>
    </row>
    <row r="21" ht="15" customHeight="1" s="25">
      <c r="A21" s="27" t="inlineStr">
        <is>
          <t>ÉVOLUTION — Départ → Actuel</t>
        </is>
      </c>
    </row>
    <row r="22" ht="21.75" customHeight="1" s="25">
      <c r="A22" s="2" t="inlineStr">
        <is>
          <t>Indicateur</t>
        </is>
      </c>
      <c r="B22" s="14" t="inlineStr">
        <is>
          <t>Le client</t>
        </is>
      </c>
      <c r="C22" s="2" t="inlineStr">
        <is>
          <t>Concurrent A</t>
        </is>
      </c>
      <c r="D22" s="2" t="inlineStr">
        <is>
          <t>Concurrent B</t>
        </is>
      </c>
      <c r="E22" s="2" t="inlineStr">
        <is>
          <t>Concurrent C</t>
        </is>
      </c>
      <c r="F22" s="2" t="inlineStr">
        <is>
          <t>Concurrent D</t>
        </is>
      </c>
      <c r="G22" s="2" t="inlineStr">
        <is>
          <t>Concurrent E</t>
        </is>
      </c>
      <c r="H22" s="2" t="inlineStr">
        <is>
          <t>Concurrent F</t>
        </is>
      </c>
      <c r="I22" s="2" t="inlineStr">
        <is>
          <t>Concurrent G</t>
        </is>
      </c>
      <c r="J22" s="2" t="inlineStr">
        <is>
          <t>Position Le client</t>
        </is>
      </c>
    </row>
    <row r="23" ht="15" customHeight="1" s="25">
      <c r="A23" s="15" t="inlineStr">
        <is>
          <t>Note Google /5</t>
        </is>
      </c>
      <c r="B23" s="20">
        <f>IF(AND(ISNUMBER(B14),ISNUMBER(B5)),B14-B5,"")</f>
        <v/>
      </c>
      <c r="C23" s="21">
        <f>IF(AND(ISNUMBER(C14),ISNUMBER(C5)),C14-C5,"")</f>
        <v/>
      </c>
      <c r="D23" s="21">
        <f>IF(AND(ISNUMBER(D14),ISNUMBER(D5)),D14-D5,"")</f>
        <v/>
      </c>
      <c r="E23" s="21">
        <f>IF(AND(ISNUMBER(E14),ISNUMBER(E5)),E14-E5,"")</f>
        <v/>
      </c>
      <c r="F23" s="21">
        <f>IF(AND(ISNUMBER(F14),ISNUMBER(F5)),F14-F5,"")</f>
        <v/>
      </c>
      <c r="G23" s="21">
        <f>IF(AND(ISNUMBER(G14),ISNUMBER(G5)),G14-G5,"")</f>
        <v/>
      </c>
      <c r="H23" s="21">
        <f>IF(AND(ISNUMBER(H14),ISNUMBER(H5)),H14-H5,"")</f>
        <v/>
      </c>
      <c r="I23" s="21">
        <f>IF(AND(ISNUMBER(I14),ISNUMBER(I5)),I14-I5,"")</f>
        <v/>
      </c>
      <c r="J23" s="17">
        <f>IF(ISNUMBER(B23),SUMPRODUCT(($B23:$I23&gt;$B23)*ISNUMBER($B23:$I23))+1,"")</f>
        <v/>
      </c>
    </row>
    <row r="24" ht="15" customHeight="1" s="25">
      <c r="A24" s="15" t="inlineStr">
        <is>
          <t>Avis Google</t>
        </is>
      </c>
      <c r="B24" s="22">
        <f>IF(AND(ISNUMBER(B15),ISNUMBER(B6)),B15-B6,"")</f>
        <v/>
      </c>
      <c r="C24" s="23">
        <f>IF(AND(ISNUMBER(C15),ISNUMBER(C6)),C15-C6,"")</f>
        <v/>
      </c>
      <c r="D24" s="23">
        <f>IF(AND(ISNUMBER(D15),ISNUMBER(D6)),D15-D6,"")</f>
        <v/>
      </c>
      <c r="E24" s="23">
        <f>IF(AND(ISNUMBER(E15),ISNUMBER(E6)),E15-E6,"")</f>
        <v/>
      </c>
      <c r="F24" s="23">
        <f>IF(AND(ISNUMBER(F15),ISNUMBER(F6)),F15-F6,"")</f>
        <v/>
      </c>
      <c r="G24" s="23">
        <f>IF(AND(ISNUMBER(G15),ISNUMBER(G6)),G15-G6,"")</f>
        <v/>
      </c>
      <c r="H24" s="23">
        <f>IF(AND(ISNUMBER(H15),ISNUMBER(H6)),H15-H6,"")</f>
        <v/>
      </c>
      <c r="I24" s="23">
        <f>IF(AND(ISNUMBER(I15),ISNUMBER(I6)),I15-I6,"")</f>
        <v/>
      </c>
      <c r="J24" s="17">
        <f>IF(ISNUMBER(B24),SUMPRODUCT(($B24:$I24&gt;$B24)*ISNUMBER($B24:$I24))+1,"")</f>
        <v/>
      </c>
    </row>
    <row r="25" ht="15" customHeight="1" s="25">
      <c r="A25" s="15" t="inlineStr">
        <is>
          <t>Abonnés Instagram</t>
        </is>
      </c>
      <c r="B25" s="22">
        <f>IF(AND(ISNUMBER(B16),ISNUMBER(B7)),B16-B7,"")</f>
        <v/>
      </c>
      <c r="C25" s="23">
        <f>IF(AND(ISNUMBER(C16),ISNUMBER(C7)),C16-C7,"")</f>
        <v/>
      </c>
      <c r="D25" s="23">
        <f>IF(AND(ISNUMBER(D16),ISNUMBER(D7)),D16-D7,"")</f>
        <v/>
      </c>
      <c r="E25" s="23">
        <f>IF(AND(ISNUMBER(E16),ISNUMBER(E7)),E16-E7,"")</f>
        <v/>
      </c>
      <c r="F25" s="23">
        <f>IF(AND(ISNUMBER(F16),ISNUMBER(F7)),F16-F7,"")</f>
        <v/>
      </c>
      <c r="G25" s="23">
        <f>IF(AND(ISNUMBER(G16),ISNUMBER(G7)),G16-G7,"")</f>
        <v/>
      </c>
      <c r="H25" s="23">
        <f>IF(AND(ISNUMBER(H16),ISNUMBER(H7)),H16-H7,"")</f>
        <v/>
      </c>
      <c r="I25" s="23">
        <f>IF(AND(ISNUMBER(I16),ISNUMBER(I7)),I16-I7,"")</f>
        <v/>
      </c>
      <c r="J25" s="17">
        <f>IF(ISNUMBER(B25),SUMPRODUCT(($B25:$I25&gt;$B25)*ISNUMBER($B25:$I25))+1,"")</f>
        <v/>
      </c>
    </row>
    <row r="26" ht="15" customHeight="1" s="25">
      <c r="A26" s="15" t="inlineStr">
        <is>
          <t>Abonnés Facebook</t>
        </is>
      </c>
      <c r="B26" s="22">
        <f>IF(AND(ISNUMBER(B17),ISNUMBER(B8)),B17-B8,"")</f>
        <v/>
      </c>
      <c r="C26" s="23">
        <f>IF(AND(ISNUMBER(C17),ISNUMBER(C8)),C17-C8,"")</f>
        <v/>
      </c>
      <c r="D26" s="23">
        <f>IF(AND(ISNUMBER(D17),ISNUMBER(D8)),D17-D8,"")</f>
        <v/>
      </c>
      <c r="E26" s="23">
        <f>IF(AND(ISNUMBER(E17),ISNUMBER(E8)),E17-E8,"")</f>
        <v/>
      </c>
      <c r="F26" s="23">
        <f>IF(AND(ISNUMBER(F17),ISNUMBER(F8)),F17-F8,"")</f>
        <v/>
      </c>
      <c r="G26" s="23">
        <f>IF(AND(ISNUMBER(G17),ISNUMBER(G8)),G17-G8,"")</f>
        <v/>
      </c>
      <c r="H26" s="23">
        <f>IF(AND(ISNUMBER(H17),ISNUMBER(H8)),H17-H8,"")</f>
        <v/>
      </c>
      <c r="I26" s="23">
        <f>IF(AND(ISNUMBER(I17),ISNUMBER(I8)),I17-I8,"")</f>
        <v/>
      </c>
      <c r="J26" s="17">
        <f>IF(ISNUMBER(B26),SUMPRODUCT(($B26:$I26&gt;$B26)*ISNUMBER($B26:$I26))+1,"")</f>
        <v/>
      </c>
    </row>
    <row r="27" ht="15" customHeight="1" s="25">
      <c r="A27" s="15" t="inlineStr">
        <is>
          <t>Abonnés TikTok</t>
        </is>
      </c>
      <c r="B27" s="22">
        <f>IF(AND(ISNUMBER(B18),ISNUMBER(B9)),B18-B9,"")</f>
        <v/>
      </c>
      <c r="C27" s="23">
        <f>IF(AND(ISNUMBER(C18),ISNUMBER(C9)),C18-C9,"")</f>
        <v/>
      </c>
      <c r="D27" s="23">
        <f>IF(AND(ISNUMBER(D18),ISNUMBER(D9)),D18-D9,"")</f>
        <v/>
      </c>
      <c r="E27" s="23">
        <f>IF(AND(ISNUMBER(E18),ISNUMBER(E9)),E18-E9,"")</f>
        <v/>
      </c>
      <c r="F27" s="23">
        <f>IF(AND(ISNUMBER(F18),ISNUMBER(F9)),F18-F9,"")</f>
        <v/>
      </c>
      <c r="G27" s="23">
        <f>IF(AND(ISNUMBER(G18),ISNUMBER(G9)),G18-G9,"")</f>
        <v/>
      </c>
      <c r="H27" s="23">
        <f>IF(AND(ISNUMBER(H18),ISNUMBER(H9)),H18-H9,"")</f>
        <v/>
      </c>
      <c r="I27" s="23">
        <f>IF(AND(ISNUMBER(I18),ISNUMBER(I9)),I18-I9,"")</f>
        <v/>
      </c>
      <c r="J27" s="17">
        <f>IF(ISNUMBER(B27),SUMPRODUCT(($B27:$I27&gt;$B27)*ISNUMBER($B27:$I27))+1,"")</f>
        <v/>
      </c>
    </row>
    <row r="28" ht="15" customHeight="1" s="25">
      <c r="A28" s="15" t="inlineStr">
        <is>
          <t>Total abonnés</t>
        </is>
      </c>
      <c r="B28" s="22">
        <f>IF(AND(ISNUMBER(B19),ISNUMBER(B10)),B19-B10,"")</f>
        <v/>
      </c>
      <c r="C28" s="23">
        <f>IF(AND(ISNUMBER(C19),ISNUMBER(C10)),C19-C10,"")</f>
        <v/>
      </c>
      <c r="D28" s="23">
        <f>IF(AND(ISNUMBER(D19),ISNUMBER(D10)),D19-D10,"")</f>
        <v/>
      </c>
      <c r="E28" s="23">
        <f>IF(AND(ISNUMBER(E19),ISNUMBER(E10)),E19-E10,"")</f>
        <v/>
      </c>
      <c r="F28" s="23">
        <f>IF(AND(ISNUMBER(F19),ISNUMBER(F10)),F19-F10,"")</f>
        <v/>
      </c>
      <c r="G28" s="23">
        <f>IF(AND(ISNUMBER(G19),ISNUMBER(G10)),G19-G10,"")</f>
        <v/>
      </c>
      <c r="H28" s="23">
        <f>IF(AND(ISNUMBER(H19),ISNUMBER(H10)),H19-H10,"")</f>
        <v/>
      </c>
      <c r="I28" s="23">
        <f>IF(AND(ISNUMBER(I19),ISNUMBER(I10)),I19-I10,"")</f>
        <v/>
      </c>
      <c r="J28" s="17">
        <f>IF(ISNUMBER(B28),SUMPRODUCT(($B28:$I28&gt;$B28)*ISNUMBER($B28:$I28))+1,"")</f>
        <v/>
      </c>
    </row>
    <row r="31" ht="15" customHeight="1" s="25">
      <c r="A31" s="26" t="inlineStr">
        <is>
          <t>Position = rang de Le client sur la ligne (1 = meilleur), parmi les complexes ayant une donnée comparable. Comptes nationaux exclus.</t>
        </is>
      </c>
    </row>
  </sheetData>
  <mergeCells count="5">
    <mergeCell ref="A1:J1"/>
    <mergeCell ref="A31:J31"/>
    <mergeCell ref="A3:J3"/>
    <mergeCell ref="A21:J21"/>
    <mergeCell ref="A12:J12"/>
  </mergeCells>
  <conditionalFormatting sqref="B23:I28">
    <cfRule type="cellIs" priority="2" operator="greaterThan" dxfId="4">
      <formula>0</formula>
    </cfRule>
    <cfRule type="cellIs" priority="3" operator="lessThan" dxfId="3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2026-06-24T11:02:37Z</dcterms:created>
  <dcterms:modified xmlns:dcterms="http://purl.org/dc/terms/" xmlns:xsi="http://www.w3.org/2001/XMLSchema-instance" xsi:type="dcterms:W3CDTF">2026-09-10T11:38:03Z</dcterms:modified>
  <cp:lastModifiedBy>Antoine MEYFROIDT</cp:lastModifiedBy>
  <cp:revision>0</cp:revision>
</cp:coreProperties>
</file>