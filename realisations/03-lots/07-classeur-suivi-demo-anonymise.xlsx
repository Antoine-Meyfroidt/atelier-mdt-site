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emande de lots - 2026" sheetId="1" state="visible" r:id="rId1"/>
    <sheet xmlns:r="http://schemas.openxmlformats.org/officeDocument/2006/relationships" name="Jauge_Mensuelle" sheetId="2" state="visible" r:id="rId2"/>
  </sheets>
  <definedNames/>
  <calcPr calcId="191028" fullCalcOnLoad="1" iterateDelta="0.0001"/>
</workbook>
</file>

<file path=xl/styles.xml><?xml version="1.0" encoding="utf-8"?>
<styleSheet xmlns="http://schemas.openxmlformats.org/spreadsheetml/2006/main">
  <numFmts count="1">
    <numFmt numFmtId="164" formatCode="[$-40C]d\-mmm\-yyyy;@"/>
  </numFmts>
  <fonts count="9">
    <font>
      <name val="Calibri"/>
      <charset val="1"/>
      <family val="2"/>
      <color theme="1"/>
      <sz val="11"/>
    </font>
    <font>
      <name val="Arial"/>
      <charset val="1"/>
      <b val="1"/>
      <color rgb="FFFFFFFF"/>
      <sz val="13"/>
    </font>
    <font>
      <name val="Arial"/>
      <charset val="1"/>
      <b val="1"/>
      <color rgb="FFFFFFFF"/>
      <sz val="10"/>
    </font>
    <font>
      <name val="Arial"/>
      <charset val="1"/>
      <sz val="10"/>
    </font>
    <font>
      <name val="Arial"/>
      <charset val="1"/>
      <b val="1"/>
      <sz val="10"/>
    </font>
    <font>
      <name val="Arial"/>
      <charset val="1"/>
      <b val="1"/>
      <color rgb="FF1B2A4A"/>
      <sz val="12"/>
    </font>
    <font>
      <name val="Arial"/>
      <charset val="1"/>
      <color rgb="FF1B2A4A"/>
      <sz val="10"/>
    </font>
    <font>
      <name val="Arial"/>
      <charset val="1"/>
      <b val="1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FFF3CD"/>
        <bgColor rgb="FFF2F2F2"/>
      </patternFill>
    </fill>
    <fill>
      <patternFill patternType="solid">
        <fgColor rgb="FFD9D9D9"/>
        <bgColor rgb="FFCCCCCC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9" fontId="3" fillId="0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/>
    </xf>
    <xf numFmtId="0" fontId="3" fillId="0" borderId="5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 wrapText="1"/>
    </xf>
    <xf numFmtId="0" fontId="4" fillId="3" borderId="7" applyAlignment="1" pivotButton="0" quotePrefix="0" xfId="0">
      <alignment horizontal="left" vertical="center"/>
    </xf>
    <xf numFmtId="0" fontId="3" fillId="0" borderId="8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9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49" fontId="2" fillId="2" borderId="4" applyAlignment="1" pivotButton="0" quotePrefix="0" xfId="0">
      <alignment horizontal="center" vertical="center" wrapText="1"/>
    </xf>
    <xf numFmtId="49" fontId="0" fillId="0" borderId="0" pivotButton="0" quotePrefix="0" xfId="0"/>
    <xf numFmtId="14" fontId="2" fillId="2" borderId="4" applyAlignment="1" pivotButton="0" quotePrefix="0" xfId="0">
      <alignment horizontal="center" vertical="center" wrapText="1"/>
    </xf>
    <xf numFmtId="14" fontId="8" fillId="0" borderId="8" applyAlignment="1" pivotButton="0" quotePrefix="0" xfId="0">
      <alignment horizontal="center" vertical="center"/>
    </xf>
    <xf numFmtId="14" fontId="3" fillId="0" borderId="1" applyAlignment="1" pivotButton="0" quotePrefix="0" xfId="0">
      <alignment horizontal="center" vertical="center"/>
    </xf>
    <xf numFmtId="14" fontId="0" fillId="0" borderId="0" pivotButton="0" quotePrefix="0" xfId="0"/>
    <xf numFmtId="164" fontId="2" fillId="2" borderId="4" applyAlignment="1" pivotButton="0" quotePrefix="0" xfId="0">
      <alignment horizontal="center" vertical="center" wrapText="1"/>
    </xf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/>
  </cellStyles>
  <dxfs count="21">
    <dxf>
      <font>
        <name val="Arial"/>
        <charset val="1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center"/>
      <border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name val="Arial"/>
        <charset val="1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center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name val="Arial"/>
        <charset val="1"/>
        <strike val="0"/>
        <outline val="0"/>
        <shadow val="0"/>
        <condense val="0"/>
        <color auto="1"/>
        <extend val="0"/>
        <sz val="10"/>
        <vertAlign val="baseline"/>
      </font>
      <numFmt numFmtId="13" formatCode="0%"/>
      <alignment horizontal="center" vertical="center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name val="Arial"/>
        <charset val="1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center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name val="Arial"/>
        <charset val="1"/>
        <strike val="0"/>
        <outline val="0"/>
        <shadow val="0"/>
        <condense val="0"/>
        <color rgb="FF1B2A4A"/>
        <extend val="0"/>
        <sz val="10"/>
        <vertAlign val="baseline"/>
      </font>
      <alignment horizontal="center" vertical="center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name val="Arial"/>
        <charset val="1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center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name val="Arial"/>
        <charset val="1"/>
        <b val="1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rgb="FFFFFFFF"/>
          <bgColor rgb="FFF2F2F2"/>
        </patternFill>
      </fill>
      <alignment horizontal="left" vertical="center"/>
      <border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bottom style="thin">
          <color rgb="FFCCCCCC"/>
        </bottom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name val="Arial"/>
        <charset val="1"/>
        <b val="1"/>
        <strike val="0"/>
        <outline val="0"/>
        <shadow val="0"/>
        <condense val="0"/>
        <color rgb="FFFFFFFF"/>
        <extend val="0"/>
        <sz val="10"/>
        <vertAlign val="baseline"/>
      </font>
      <fill>
        <patternFill patternType="solid">
          <fgColor rgb="FF003366"/>
          <bgColor rgb="FF1B2A4A"/>
        </patternFill>
      </fill>
      <alignment horizontal="center" vertical="center" wrapText="1"/>
      <border outline="0">
        <left style="thin">
          <color rgb="FFCCCCCC"/>
        </left>
        <right style="thin">
          <color rgb="FFCCCCCC"/>
        </right>
        <top/>
        <bottom/>
      </border>
    </dxf>
    <dxf>
      <numFmt numFmtId="19" formatCode="dd/mm/yyyy"/>
    </dxf>
    <dxf>
      <numFmt numFmtId="164" formatCode="[$-40C]d\-mmm\-yyyy;@"/>
    </dxf>
    <dxf>
      <numFmt numFmtId="30" formatCode="@"/>
    </dxf>
    <dxf>
      <numFmt numFmtId="164" formatCode="[$-40C]d\-mmm\-yyyy;@"/>
    </dxf>
    <dxf>
      <border outline="0">
        <bottom style="thin">
          <color rgb="FFCCCCCC"/>
        </bottom>
      </border>
    </dxf>
    <dxf>
      <border outline="0">
        <left style="thin">
          <color rgb="FFCCCCCC"/>
        </left>
        <top style="thin">
          <color rgb="FFCCCCCC"/>
        </top>
      </border>
    </dxf>
    <dxf>
      <font>
        <name val="Arial"/>
        <charset val="1"/>
        <b val="1"/>
        <strike val="0"/>
        <outline val="0"/>
        <shadow val="0"/>
        <condense val="0"/>
        <color rgb="FFFFFFFF"/>
        <extend val="0"/>
        <sz val="10"/>
        <vertAlign val="baseline"/>
      </font>
      <fill>
        <patternFill patternType="solid">
          <fgColor rgb="FF003366"/>
          <bgColor rgb="FF1B2A4A"/>
        </patternFill>
      </fill>
      <alignment horizontal="center" vertical="center" wrapText="1"/>
      <border outline="0">
        <left style="thin">
          <color rgb="FFCCCCCC"/>
        </left>
        <right style="thin">
          <color rgb="FFCCCCCC"/>
        </right>
        <top/>
        <bottom/>
      </border>
    </dxf>
    <dxf>
      <font>
        <name val="Arial"/>
        <charset val="1"/>
        <b val="1"/>
        <color rgb="FFFFFFFF"/>
        <sz val="10"/>
      </font>
      <fill>
        <patternFill>
          <bgColor rgb="FFF4A623"/>
        </patternFill>
      </fill>
    </dxf>
    <dxf>
      <font>
        <name val="Arial"/>
        <charset val="1"/>
        <b val="1"/>
        <color rgb="FFFFFFFF"/>
        <sz val="10"/>
      </font>
      <fill>
        <patternFill>
          <bgColor rgb="FFD9534F"/>
        </patternFill>
      </fill>
    </dxf>
    <dxf>
      <font>
        <name val="Arial"/>
        <charset val="1"/>
        <b val="1"/>
        <color rgb="FFFFFFFF"/>
        <sz val="10"/>
      </font>
      <fill>
        <patternFill>
          <bgColor rgb="FF5CB85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CD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4A623"/>
      <rgbColor rgb="FFD9534F"/>
      <rgbColor rgb="FF666699"/>
      <rgbColor rgb="FF969696"/>
      <rgbColor rgb="FF003366"/>
      <rgbColor rgb="FF5CB85C"/>
      <rgbColor rgb="FF003300"/>
      <rgbColor rgb="FF333300"/>
      <rgbColor rgb="FF993300"/>
      <rgbColor rgb="FF993366"/>
      <rgbColor rgb="FF333399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Demande_de_lots" displayName="Demande_de_lots" ref="A2:R12" headerRowCount="1" totalsRowShown="0" headerRowDxfId="17" headerRowBorderDxfId="15" tableBorderDxfId="16">
  <autoFilter ref="A2:R12"/>
  <tableColumns count="18">
    <tableColumn id="1" name="ID">
      <calculatedColumnFormula>IF(B3&lt;&gt;"",ROW()-2,"")</calculatedColumnFormula>
    </tableColumn>
    <tableColumn id="2" name="Date_Demande" dataDxfId="14"/>
    <tableColumn id="3" name="Nom de la structure"/>
    <tableColumn id="4" name="Type de structure"/>
    <tableColumn id="5" name="Numéro de SIRET ou RNA"/>
    <tableColumn id="6" name="Ville"/>
    <tableColumn id="7" name="Code postal"/>
    <tableColumn id="8" name="Nom"/>
    <tableColumn id="9" name="Prénom"/>
    <tableColumn id="10" name="Téléphone" dataDxfId="13"/>
    <tableColumn id="11" name="E-mail"/>
    <tableColumn id="12" name="Raison de la demande"/>
    <tableColumn id="13" name="Statut"/>
    <tableColumn id="14" name="Mail_Envoye"/>
    <tableColumn id="15" name="Derniere_Demande" dataDxfId="12"/>
    <tableColumn id="16" name="Delai_Jours">
      <calculatedColumnFormula>IF(OR(O3="",B3=""),"—",IFERROR(INT(B3)-INT(O3),"—"))</calculatedColumnFormula>
    </tableColumn>
    <tableColumn id="17" name="Mois_Jauge" dataDxfId="11">
      <calculatedColumnFormula>IF(B3="","",TEXT(B3,"mmmm aaaa"))</calculatedColumnFormula>
    </tableColumn>
    <tableColumn id="18" name="Commentaire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id="2" name="Jauge_Mensuelle" displayName="Jauge_Mensuelle" ref="A2:G20" headerRowCount="1" totalsRowShown="0" headerRowDxfId="10" headerRowBorderDxfId="8" tableBorderDxfId="9" totalsRowBorderDxfId="7">
  <autoFilter ref="A2:G20"/>
  <tableColumns count="7">
    <tableColumn id="1" name="Mois" dataDxfId="6"/>
    <tableColumn id="2" name="Lots accordés" dataDxfId="5">
      <calculatedColumnFormula>COUNTIFS('Demande de lots - 2026'!Q$3:Q$507,A3,'Demande de lots - 2026'!M$3:M$507,"Validé")*4</calculatedColumnFormula>
    </tableColumn>
    <tableColumn id="3" name="Limite max" dataDxfId="4">
      <calculatedColumnFormula>$J$2</calculatedColumnFormula>
    </tableColumn>
    <tableColumn id="4" name="Reste disponible" dataDxfId="3">
      <calculatedColumnFormula>C3-B3</calculatedColumnFormula>
    </tableColumn>
    <tableColumn id="5" name="% utilisé" dataDxfId="2">
      <calculatedColumnFormula>IF(C3&gt;0,B3/C3,0)</calculatedColumnFormula>
    </tableColumn>
    <tableColumn id="6" name="Statut" dataDxfId="1">
      <calculatedColumnFormula>IF(B3=0,"✅ Aucun lot",IF(B3&gt;=C3,"🔴 LIMITE ATTEINTE",IF(B3/C3&gt;=0.8,"🟠 Attention",IF(B3/C3&gt;=0.5,"🟡 En cours","🟢 Disponible"))))</calculatedColumnFormula>
    </tableColumn>
    <tableColumn id="7" name="Nb demandes" dataDxfId="0">
      <calculatedColumnFormula>COUNTIFS('Demande de lots - 2026'!Q$3:Q$507,A3,'Demande de lots - 2026'!M$3:M$507,"Validé")</calculatedColumnFormula>
    </tableColumn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7"/>
  <sheetViews>
    <sheetView tabSelected="1" zoomScaleNormal="100" workbookViewId="0">
      <pane ySplit="2" topLeftCell="E3" activePane="bottomLeft" state="frozen"/>
      <selection pane="bottomLeft" activeCell="N3" sqref="N3:N10"/>
    </sheetView>
  </sheetViews>
  <sheetFormatPr baseColWidth="8" defaultColWidth="8.7109375" defaultRowHeight="15"/>
  <cols>
    <col width="6" customWidth="1" min="1" max="1"/>
    <col width="16.28515625" customWidth="1" style="27" min="2" max="2"/>
    <col width="25" customWidth="1" min="3" max="3"/>
    <col width="25.28515625" customWidth="1" min="4" max="4"/>
    <col width="22.28515625" customWidth="1" min="5" max="5"/>
    <col width="14" customWidth="1" min="6" max="6"/>
    <col width="13.28515625" customWidth="1" min="7" max="7"/>
    <col width="14" customWidth="1" min="8" max="9"/>
    <col width="14" customWidth="1" style="21" min="10" max="10"/>
    <col width="28.42578125" customWidth="1" min="11" max="11"/>
    <col width="23.28515625" customWidth="1" min="12" max="12"/>
    <col width="14" customWidth="1" min="13" max="13"/>
    <col width="14.28515625" customWidth="1" min="14" max="14"/>
    <col width="18.28515625" customWidth="1" style="27" min="15" max="15"/>
    <col width="18.140625" customWidth="1" min="16" max="16"/>
    <col width="14" customWidth="1" style="25" min="17" max="17"/>
    <col width="22" customWidth="1" min="18" max="18"/>
  </cols>
  <sheetData>
    <row r="1" ht="21.75" customHeight="1">
      <c r="A1" s="28" t="inlineStr">
        <is>
          <t>KAMPUS 137 — Suivi des demandes de lots 2026</t>
        </is>
      </c>
    </row>
    <row r="2" ht="31.5" customHeight="1">
      <c r="A2" s="8" t="inlineStr">
        <is>
          <t>ID</t>
        </is>
      </c>
      <c r="B2" s="26" t="inlineStr">
        <is>
          <t>Date_Demande</t>
        </is>
      </c>
      <c r="C2" s="9" t="inlineStr">
        <is>
          <t>Nom de la structure</t>
        </is>
      </c>
      <c r="D2" s="9" t="inlineStr">
        <is>
          <t>Type de structure</t>
        </is>
      </c>
      <c r="E2" s="9" t="inlineStr">
        <is>
          <t>Numéro de SIRET ou RNA</t>
        </is>
      </c>
      <c r="F2" s="9" t="inlineStr">
        <is>
          <t>Ville</t>
        </is>
      </c>
      <c r="G2" s="9" t="inlineStr">
        <is>
          <t>Code postal</t>
        </is>
      </c>
      <c r="H2" s="9" t="inlineStr">
        <is>
          <t>Nom</t>
        </is>
      </c>
      <c r="I2" s="9" t="inlineStr">
        <is>
          <t>Prénom</t>
        </is>
      </c>
      <c r="J2" s="20" t="inlineStr">
        <is>
          <t>Téléphone</t>
        </is>
      </c>
      <c r="K2" s="9" t="inlineStr">
        <is>
          <t>E-mail</t>
        </is>
      </c>
      <c r="L2" s="9" t="inlineStr">
        <is>
          <t>Raison de la demande</t>
        </is>
      </c>
      <c r="M2" s="9" t="inlineStr">
        <is>
          <t>Statut</t>
        </is>
      </c>
      <c r="N2" s="9" t="inlineStr">
        <is>
          <t>Mail_Envoye</t>
        </is>
      </c>
      <c r="O2" s="26" t="inlineStr">
        <is>
          <t>Derniere_Demande</t>
        </is>
      </c>
      <c r="P2" s="9" t="inlineStr">
        <is>
          <t>Delai_Jours</t>
        </is>
      </c>
      <c r="Q2" s="22" t="inlineStr">
        <is>
          <t>Mois_Jauge</t>
        </is>
      </c>
      <c r="R2" s="9" t="inlineStr">
        <is>
          <t>Commentaire</t>
        </is>
      </c>
    </row>
    <row r="3" ht="18" customHeight="1">
      <c r="A3" s="18">
        <f>IF(B3&lt;&gt;"",ROW()-2,"")</f>
        <v/>
      </c>
      <c r="B3" s="27" t="n">
        <v>46178</v>
      </c>
      <c r="C3" t="inlineStr">
        <is>
          <t>Association Les Hirondelles</t>
        </is>
      </c>
      <c r="D3" t="inlineStr">
        <is>
          <t>APE / École / Collège / Lycée</t>
        </is>
      </c>
      <c r="E3" t="inlineStr">
        <is>
          <t>000 000 000 00000</t>
        </is>
      </c>
      <c r="F3" t="inlineStr">
        <is>
          <t>Bruz</t>
        </is>
      </c>
      <c r="G3" t="inlineStr">
        <is>
          <t>35170</t>
        </is>
      </c>
      <c r="H3" t="inlineStr">
        <is>
          <t>Durand</t>
        </is>
      </c>
      <c r="I3" t="inlineStr">
        <is>
          <t>Claire</t>
        </is>
      </c>
      <c r="J3" s="21" t="inlineStr">
        <is>
          <t>0X XX XX XX XX</t>
        </is>
      </c>
      <c r="K3" t="inlineStr">
        <is>
          <t>contact1@exemple.fr</t>
        </is>
      </c>
      <c r="L3" t="inlineStr">
        <is>
          <t>Tombola / Loto</t>
        </is>
      </c>
      <c r="M3" t="inlineStr">
        <is>
          <t>Validé</t>
        </is>
      </c>
      <c r="N3" t="inlineStr">
        <is>
          <t>Oui</t>
        </is>
      </c>
      <c r="P3" s="19">
        <f>IF(OR(O3="",B3=""),"—",IFERROR(INT(B3)-INT(O3),"—"))</f>
        <v/>
      </c>
      <c r="Q3" s="23">
        <f>IF(B3="","",TEXT(B3,"mmmm aaaa"))</f>
        <v/>
      </c>
    </row>
    <row r="4" ht="18" customHeight="1">
      <c r="A4" s="18">
        <f>IF(B4&lt;&gt;"",ROW()-2,"")</f>
        <v/>
      </c>
      <c r="B4" s="27" t="n">
        <v>46148</v>
      </c>
      <c r="C4" t="inlineStr">
        <is>
          <t>APE École du Bourg</t>
        </is>
      </c>
      <c r="D4" t="inlineStr">
        <is>
          <t>APE / École / Collège / Lycée</t>
        </is>
      </c>
      <c r="E4" t="inlineStr">
        <is>
          <t>000 000 000 00000</t>
        </is>
      </c>
      <c r="F4" t="inlineStr">
        <is>
          <t>Chartres-de-Bretagne</t>
        </is>
      </c>
      <c r="G4" t="inlineStr">
        <is>
          <t>35131</t>
        </is>
      </c>
      <c r="H4" t="inlineStr">
        <is>
          <t>Lemoine</t>
        </is>
      </c>
      <c r="I4" t="inlineStr">
        <is>
          <t>Julien</t>
        </is>
      </c>
      <c r="J4" s="21" t="inlineStr">
        <is>
          <t>0X XX XX XX XX</t>
        </is>
      </c>
      <c r="K4" t="inlineStr">
        <is>
          <t>contact2@exemple.fr</t>
        </is>
      </c>
      <c r="L4" t="inlineStr">
        <is>
          <t>Tombola / Loto</t>
        </is>
      </c>
      <c r="M4" t="inlineStr">
        <is>
          <t>Validé</t>
        </is>
      </c>
      <c r="N4" t="inlineStr">
        <is>
          <t>Oui</t>
        </is>
      </c>
      <c r="P4" s="19">
        <f>IF(OR(O4="",B4=""),"—",IFERROR(INT(B4)-INT(O4),"—"))</f>
        <v/>
      </c>
      <c r="Q4" s="23">
        <f>IF(B4="","",TEXT(B4,"mmmm aaaa"))</f>
        <v/>
      </c>
    </row>
    <row r="5" ht="18" customHeight="1">
      <c r="A5" s="18">
        <f>IF(B5&lt;&gt;"",ROW()-2,"")</f>
        <v/>
      </c>
      <c r="B5" s="27" t="n">
        <v>46180</v>
      </c>
      <c r="C5" t="inlineStr">
        <is>
          <t>Club Sportif Municipal</t>
        </is>
      </c>
      <c r="D5" t="inlineStr">
        <is>
          <t>APE / École / Collège / Lycée</t>
        </is>
      </c>
      <c r="E5" t="inlineStr">
        <is>
          <t>000 000 000 00000</t>
        </is>
      </c>
      <c r="F5" t="inlineStr">
        <is>
          <t>Guichen</t>
        </is>
      </c>
      <c r="G5" t="inlineStr">
        <is>
          <t>35580</t>
        </is>
      </c>
      <c r="H5" t="inlineStr">
        <is>
          <t>Petit</t>
        </is>
      </c>
      <c r="I5" t="inlineStr">
        <is>
          <t>Sophie</t>
        </is>
      </c>
      <c r="J5" s="21" t="inlineStr">
        <is>
          <t>0X XX XX XX XX</t>
        </is>
      </c>
      <c r="K5" t="inlineStr">
        <is>
          <t>contact3@exemple.fr</t>
        </is>
      </c>
      <c r="L5" t="inlineStr">
        <is>
          <t>Tombola / Loto</t>
        </is>
      </c>
      <c r="M5" t="inlineStr">
        <is>
          <t>En attente</t>
        </is>
      </c>
      <c r="P5" s="19">
        <f>IF(OR(O5="",B5=""),"—",IFERROR(INT(B5)-INT(O5),"—"))</f>
        <v/>
      </c>
      <c r="Q5" s="23">
        <f>IF(B5="","",TEXT(B5,"mmmm aaaa"))</f>
        <v/>
      </c>
    </row>
    <row r="6" ht="18" customHeight="1">
      <c r="A6" s="18">
        <f>IF(B6&lt;&gt;"",ROW()-2,"")</f>
        <v/>
      </c>
      <c r="B6" s="27" t="n">
        <v>46125</v>
      </c>
      <c r="C6" t="inlineStr">
        <is>
          <t>Comité des Fêtes</t>
        </is>
      </c>
      <c r="D6" t="inlineStr">
        <is>
          <t>APE / École / Collège / Lycée</t>
        </is>
      </c>
      <c r="E6" t="inlineStr">
        <is>
          <t>000 000 000 00000</t>
        </is>
      </c>
      <c r="F6" t="inlineStr">
        <is>
          <t>Bain-de-Bretagne</t>
        </is>
      </c>
      <c r="G6" t="inlineStr">
        <is>
          <t>35470</t>
        </is>
      </c>
      <c r="H6" t="inlineStr">
        <is>
          <t>Bertrand</t>
        </is>
      </c>
      <c r="I6" t="inlineStr">
        <is>
          <t>Marc</t>
        </is>
      </c>
      <c r="J6" s="21" t="inlineStr">
        <is>
          <t>0X XX XX XX XX</t>
        </is>
      </c>
      <c r="K6" t="inlineStr">
        <is>
          <t>contact4@exemple.fr</t>
        </is>
      </c>
      <c r="L6" t="inlineStr">
        <is>
          <t>Tombola / Loto</t>
        </is>
      </c>
      <c r="M6" t="inlineStr">
        <is>
          <t>Validé</t>
        </is>
      </c>
      <c r="N6" t="inlineStr">
        <is>
          <t>Oui</t>
        </is>
      </c>
      <c r="P6" s="19">
        <f>IF(OR(O6="",B6=""),"—",IFERROR(INT(B6)-INT(O6),"—"))</f>
        <v/>
      </c>
      <c r="Q6" s="23">
        <f>IF(B6="","",TEXT(B6,"mmmm aaaa"))</f>
        <v/>
      </c>
    </row>
    <row r="7" ht="18" customHeight="1">
      <c r="A7" s="18">
        <f>IF(B7&lt;&gt;"",ROW()-2,"")</f>
        <v/>
      </c>
      <c r="B7" s="27" t="n">
        <v>46155</v>
      </c>
      <c r="C7" t="inlineStr">
        <is>
          <t>Amicale Laïque</t>
        </is>
      </c>
      <c r="D7" t="inlineStr">
        <is>
          <t>APE / École / Collège / Lycée</t>
        </is>
      </c>
      <c r="E7" t="inlineStr">
        <is>
          <t>000 000 000 00000</t>
        </is>
      </c>
      <c r="F7" t="inlineStr">
        <is>
          <t>Janzé</t>
        </is>
      </c>
      <c r="G7" t="inlineStr">
        <is>
          <t>35150</t>
        </is>
      </c>
      <c r="H7" t="inlineStr">
        <is>
          <t>Rouault</t>
        </is>
      </c>
      <c r="I7" t="inlineStr">
        <is>
          <t>Élise</t>
        </is>
      </c>
      <c r="J7" s="21" t="inlineStr">
        <is>
          <t>0X XX XX XX XX</t>
        </is>
      </c>
      <c r="K7" t="inlineStr">
        <is>
          <t>contact5@exemple.fr</t>
        </is>
      </c>
      <c r="L7" t="inlineStr">
        <is>
          <t>Tombola / Loto</t>
        </is>
      </c>
      <c r="M7" t="inlineStr">
        <is>
          <t>Refusé</t>
        </is>
      </c>
      <c r="P7" s="19">
        <f>IF(OR(O7="",B7=""),"—",IFERROR(INT(B7)-INT(O7),"—"))</f>
        <v/>
      </c>
      <c r="Q7" s="23">
        <f>IF(B7="","",TEXT(B7,"mmmm aaaa"))</f>
        <v/>
      </c>
    </row>
    <row r="8" ht="18" customHeight="1">
      <c r="A8" s="18">
        <f>IF(B8&lt;&gt;"",ROW()-2,"")</f>
        <v/>
      </c>
      <c r="B8" s="27" t="n">
        <v>46186</v>
      </c>
      <c r="C8" t="inlineStr">
        <is>
          <t>Collège Saint-Exupéry</t>
        </is>
      </c>
      <c r="D8" t="inlineStr">
        <is>
          <t>APE / École / Collège / Lycée</t>
        </is>
      </c>
      <c r="E8" t="inlineStr">
        <is>
          <t>000 000 000 00000</t>
        </is>
      </c>
      <c r="F8" t="inlineStr">
        <is>
          <t>Nouvoitou</t>
        </is>
      </c>
      <c r="G8" t="inlineStr">
        <is>
          <t>35410</t>
        </is>
      </c>
      <c r="H8" t="inlineStr">
        <is>
          <t>Colin</t>
        </is>
      </c>
      <c r="I8" t="inlineStr">
        <is>
          <t>Thomas</t>
        </is>
      </c>
      <c r="J8" s="21" t="inlineStr">
        <is>
          <t>0X XX XX XX XX</t>
        </is>
      </c>
      <c r="K8" t="inlineStr">
        <is>
          <t>contact6@exemple.fr</t>
        </is>
      </c>
      <c r="L8" t="inlineStr">
        <is>
          <t>Tombola / Loto</t>
        </is>
      </c>
      <c r="O8" s="27" t="n">
        <v>46125</v>
      </c>
      <c r="P8" s="19">
        <f>IF(OR(O8="",B8=""),"—",IFERROR(INT(B8)-INT(O8),"—"))</f>
        <v/>
      </c>
      <c r="Q8" s="23">
        <f>IF(B8="","",TEXT(B8,"mmmm aaaa"))</f>
        <v/>
      </c>
    </row>
    <row r="9" ht="18" customHeight="1">
      <c r="A9" s="18">
        <f>IF(B9&lt;&gt;"",ROW()-2,"")</f>
        <v/>
      </c>
      <c r="B9" s="27" t="n">
        <v>46186</v>
      </c>
      <c r="C9" t="inlineStr">
        <is>
          <t>Union Sportive du Val</t>
        </is>
      </c>
      <c r="D9" t="inlineStr">
        <is>
          <t>Association Sportive (Club)</t>
        </is>
      </c>
      <c r="E9" t="inlineStr">
        <is>
          <t>000 000 000 00000</t>
        </is>
      </c>
      <c r="F9" t="inlineStr">
        <is>
          <t>Bruz</t>
        </is>
      </c>
      <c r="G9" t="inlineStr">
        <is>
          <t>35170</t>
        </is>
      </c>
      <c r="H9" t="inlineStr">
        <is>
          <t>Marchand</t>
        </is>
      </c>
      <c r="I9" t="inlineStr">
        <is>
          <t>Nadia</t>
        </is>
      </c>
      <c r="J9" s="21" t="inlineStr">
        <is>
          <t>0X XX XX XX XX</t>
        </is>
      </c>
      <c r="K9" t="inlineStr">
        <is>
          <t>contact7@exemple.fr</t>
        </is>
      </c>
      <c r="L9" t="inlineStr">
        <is>
          <t>Tournoi ou événement sportif</t>
        </is>
      </c>
      <c r="M9" t="inlineStr">
        <is>
          <t>Validé</t>
        </is>
      </c>
      <c r="N9" t="inlineStr">
        <is>
          <t>Oui</t>
        </is>
      </c>
      <c r="P9" s="19">
        <f>IF(OR(O9="",B9=""),"—",IFERROR(INT(B9)-INT(O9),"—"))</f>
        <v/>
      </c>
      <c r="Q9" s="23">
        <f>IF(B9="","",TEXT(B9,"mmmm aaaa"))</f>
        <v/>
      </c>
    </row>
    <row r="10" ht="18" customHeight="1">
      <c r="A10" s="18">
        <f>IF(B10&lt;&gt;"",ROW()-2,"")</f>
        <v/>
      </c>
      <c r="B10" s="27" t="n">
        <v>46197</v>
      </c>
      <c r="C10" t="inlineStr">
        <is>
          <t>Foyer Rural</t>
        </is>
      </c>
      <c r="D10" t="inlineStr">
        <is>
          <t>APE / École / Collège / Lycée</t>
        </is>
      </c>
      <c r="E10" t="inlineStr">
        <is>
          <t>000 000 000 00000</t>
        </is>
      </c>
      <c r="F10" t="inlineStr">
        <is>
          <t>Chartres-de-Bretagne</t>
        </is>
      </c>
      <c r="G10" t="inlineStr">
        <is>
          <t>35131</t>
        </is>
      </c>
      <c r="H10" t="inlineStr">
        <is>
          <t>Leroy</t>
        </is>
      </c>
      <c r="I10" t="inlineStr">
        <is>
          <t>Pierre</t>
        </is>
      </c>
      <c r="J10" s="21" t="inlineStr">
        <is>
          <t>0X XX XX XX XX</t>
        </is>
      </c>
      <c r="K10" t="inlineStr">
        <is>
          <t>contact8@exemple.fr</t>
        </is>
      </c>
      <c r="L10" t="inlineStr">
        <is>
          <t>Tombola / Loto</t>
        </is>
      </c>
      <c r="P10" s="19">
        <f>IF(OR(O10="",B10=""),"—",IFERROR(INT(B10)-INT(O10),"—"))</f>
        <v/>
      </c>
      <c r="Q10" s="23">
        <f>IF(B10="","",TEXT(B10,"mmmm aaaa"))</f>
        <v/>
      </c>
    </row>
    <row r="11" ht="18" customHeight="1">
      <c r="A11" s="18">
        <f>IF(B11&lt;&gt;"",ROW()-2,"")</f>
        <v/>
      </c>
      <c r="B11" s="27" t="n">
        <v>46261</v>
      </c>
      <c r="C11" t="inlineStr">
        <is>
          <t>Association Les Hirondelles</t>
        </is>
      </c>
      <c r="D11" t="inlineStr">
        <is>
          <t>Autre</t>
        </is>
      </c>
      <c r="E11" t="inlineStr">
        <is>
          <t>000 000 000 00000</t>
        </is>
      </c>
      <c r="F11" t="inlineStr">
        <is>
          <t>Guichen</t>
        </is>
      </c>
      <c r="G11" t="inlineStr">
        <is>
          <t>35580</t>
        </is>
      </c>
      <c r="H11" t="inlineStr">
        <is>
          <t>Durand</t>
        </is>
      </c>
      <c r="I11" t="inlineStr">
        <is>
          <t>Claire</t>
        </is>
      </c>
      <c r="J11" s="21" t="inlineStr">
        <is>
          <t>0X XX XX XX XX</t>
        </is>
      </c>
      <c r="K11" t="inlineStr">
        <is>
          <t>contact9@exemple.fr</t>
        </is>
      </c>
      <c r="L11" t="inlineStr">
        <is>
          <t>Tombola / Loto</t>
        </is>
      </c>
      <c r="P11" s="19">
        <f>IF(OR(O11="",B11=""),"—",IFERROR(INT(B11)-INT(O11),"—"))</f>
        <v/>
      </c>
      <c r="Q11" s="23">
        <f>IF(B11="","",TEXT(B11,"mmmm aaaa"))</f>
        <v/>
      </c>
    </row>
    <row r="12" ht="18" customHeight="1">
      <c r="A12" s="18">
        <f>IF(B12&lt;&gt;"",ROW()-2,"")</f>
        <v/>
      </c>
      <c r="B12" s="27" t="n">
        <v>46270</v>
      </c>
      <c r="C12" t="inlineStr">
        <is>
          <t>APE École du Bourg</t>
        </is>
      </c>
      <c r="D12" t="inlineStr">
        <is>
          <t>Autre</t>
        </is>
      </c>
      <c r="E12" t="inlineStr">
        <is>
          <t>000 000 000 00000</t>
        </is>
      </c>
      <c r="F12" t="inlineStr">
        <is>
          <t>Bain-de-Bretagne</t>
        </is>
      </c>
      <c r="G12" t="inlineStr">
        <is>
          <t>35470</t>
        </is>
      </c>
      <c r="H12" t="inlineStr">
        <is>
          <t>Lemoine</t>
        </is>
      </c>
      <c r="I12" t="inlineStr">
        <is>
          <t>Julien</t>
        </is>
      </c>
      <c r="J12" s="21" t="inlineStr">
        <is>
          <t>0X XX XX XX XX</t>
        </is>
      </c>
      <c r="K12" t="inlineStr">
        <is>
          <t>contact10@exemple.fr</t>
        </is>
      </c>
      <c r="L12" t="inlineStr">
        <is>
          <t>Tombola / Loto</t>
        </is>
      </c>
      <c r="P12" s="19">
        <f>IF(OR(O12="",B12=""),"—",IFERROR(INT(B12)-INT(O12),"—"))</f>
        <v/>
      </c>
      <c r="Q12" s="23">
        <f>IF(B12="","",TEXT(B12,"mmmm aaaa"))</f>
        <v/>
      </c>
    </row>
    <row r="13" ht="18" customHeight="1">
      <c r="A13" s="2">
        <f>IF(B13&lt;&gt;"",ROW()-2,"")</f>
        <v/>
      </c>
      <c r="P13" s="2">
        <f>IF(OR(O13="",B13=""),"—",IFERROR(INT(B13)-INT(O13),"—"))</f>
        <v/>
      </c>
      <c r="Q13" s="24">
        <f>IF(B13="","",TEXT(B13,"MMMM YYYY"))</f>
        <v/>
      </c>
    </row>
    <row r="14" ht="18" customHeight="1">
      <c r="A14" s="2">
        <f>IF(B14&lt;&gt;"",ROW()-2,"")</f>
        <v/>
      </c>
      <c r="P14" s="2">
        <f>IF(OR(O14="",B14=""),"—",IFERROR(INT(B14)-INT(O14),"—"))</f>
        <v/>
      </c>
      <c r="Q14" s="24">
        <f>IF(B14="","",TEXT(B14,"MMMM YYYY"))</f>
        <v/>
      </c>
    </row>
    <row r="15" ht="18" customHeight="1">
      <c r="A15" s="2">
        <f>IF(B15&lt;&gt;"",ROW()-2,"")</f>
        <v/>
      </c>
      <c r="P15" s="2">
        <f>IF(OR(O15="",B15=""),"—",IFERROR(INT(B15)-INT(O15),"—"))</f>
        <v/>
      </c>
      <c r="Q15" s="24">
        <f>IF(B15="","",TEXT(B15,"MMMM YYYY"))</f>
        <v/>
      </c>
    </row>
    <row r="16" ht="18" customHeight="1">
      <c r="A16" s="2">
        <f>IF(B16&lt;&gt;"",ROW()-2,"")</f>
        <v/>
      </c>
      <c r="P16" s="2">
        <f>IF(OR(O16="",B16=""),"—",IFERROR(INT(B16)-INT(O16),"—"))</f>
        <v/>
      </c>
      <c r="Q16" s="24">
        <f>IF(B16="","",TEXT(B16,"MMMM YYYY"))</f>
        <v/>
      </c>
    </row>
    <row r="17" ht="18" customHeight="1">
      <c r="A17" s="2">
        <f>IF(B17&lt;&gt;"",ROW()-2,"")</f>
        <v/>
      </c>
      <c r="P17" s="2">
        <f>IF(OR(O17="",B17=""),"—",IFERROR(INT(B17)-INT(O17),"—"))</f>
        <v/>
      </c>
      <c r="Q17" s="24">
        <f>IF(B17="","",TEXT(B17,"MMMM YYYY"))</f>
        <v/>
      </c>
    </row>
    <row r="18" ht="18" customHeight="1">
      <c r="A18" s="2">
        <f>IF(B18&lt;&gt;"",ROW()-2,"")</f>
        <v/>
      </c>
      <c r="P18" s="2">
        <f>IF(OR(O18="",B18=""),"—",IFERROR(INT(B18)-INT(O18),"—"))</f>
        <v/>
      </c>
      <c r="Q18" s="24">
        <f>IF(B18="","",TEXT(B18,"MMMM YYYY"))</f>
        <v/>
      </c>
    </row>
    <row r="19" ht="18" customHeight="1">
      <c r="A19" s="2">
        <f>IF(B19&lt;&gt;"",ROW()-2,"")</f>
        <v/>
      </c>
      <c r="P19" s="2">
        <f>IF(OR(O19="",B19=""),"—",IFERROR(INT(B19)-INT(O19),"—"))</f>
        <v/>
      </c>
      <c r="Q19" s="24">
        <f>IF(B19="","",TEXT(B19,"MMMM YYYY"))</f>
        <v/>
      </c>
    </row>
    <row r="20" ht="18" customHeight="1">
      <c r="A20" s="2">
        <f>IF(B20&lt;&gt;"",ROW()-2,"")</f>
        <v/>
      </c>
      <c r="P20" s="2">
        <f>IF(OR(O20="",B20=""),"—",IFERROR(INT(B20)-INT(O20),"—"))</f>
        <v/>
      </c>
      <c r="Q20" s="24">
        <f>IF(B20="","",TEXT(B20,"MMMM YYYY"))</f>
        <v/>
      </c>
    </row>
    <row r="21" ht="18" customHeight="1">
      <c r="A21" s="2">
        <f>IF(B21&lt;&gt;"",ROW()-2,"")</f>
        <v/>
      </c>
      <c r="P21" s="2">
        <f>IF(OR(O21="",B21=""),"—",IFERROR(INT(B21)-INT(O21),"—"))</f>
        <v/>
      </c>
      <c r="Q21" s="24">
        <f>IF(B21="","",TEXT(B21,"MMMM YYYY"))</f>
        <v/>
      </c>
    </row>
    <row r="22" ht="18" customHeight="1">
      <c r="A22" s="2">
        <f>IF(B22&lt;&gt;"",ROW()-2,"")</f>
        <v/>
      </c>
      <c r="P22" s="2">
        <f>IF(OR(O22="",B22=""),"—",IFERROR(INT(B22)-INT(O22),"—"))</f>
        <v/>
      </c>
      <c r="Q22" s="24">
        <f>IF(B22="","",TEXT(B22,"MMMM YYYY"))</f>
        <v/>
      </c>
    </row>
    <row r="23" ht="18" customHeight="1">
      <c r="A23" s="2">
        <f>IF(B23&lt;&gt;"",ROW()-2,"")</f>
        <v/>
      </c>
      <c r="P23" s="2">
        <f>IF(OR(O23="",B23=""),"—",IFERROR(INT(B23)-INT(O23),"—"))</f>
        <v/>
      </c>
      <c r="Q23" s="24">
        <f>IF(B23="","",TEXT(B23,"MMMM YYYY"))</f>
        <v/>
      </c>
    </row>
    <row r="24" ht="18" customHeight="1">
      <c r="A24" s="2">
        <f>IF(B24&lt;&gt;"",ROW()-2,"")</f>
        <v/>
      </c>
      <c r="P24" s="2">
        <f>IF(OR(O24="",B24=""),"—",IFERROR(INT(B24)-INT(O24),"—"))</f>
        <v/>
      </c>
      <c r="Q24" s="24">
        <f>IF(B24="","",TEXT(B24,"MMMM YYYY"))</f>
        <v/>
      </c>
    </row>
    <row r="25" ht="18" customHeight="1">
      <c r="A25" s="2">
        <f>IF(B25&lt;&gt;"",ROW()-2,"")</f>
        <v/>
      </c>
      <c r="P25" s="2">
        <f>IF(OR(O25="",B25=""),"—",IFERROR(INT(B25)-INT(O25),"—"))</f>
        <v/>
      </c>
      <c r="Q25" s="24">
        <f>IF(B25="","",TEXT(B25,"MMMM YYYY"))</f>
        <v/>
      </c>
    </row>
    <row r="26" ht="18" customHeight="1">
      <c r="A26" s="2">
        <f>IF(B26&lt;&gt;"",ROW()-2,"")</f>
        <v/>
      </c>
      <c r="P26" s="2">
        <f>IF(OR(O26="",B26=""),"—",IFERROR(INT(B26)-INT(O26),"—"))</f>
        <v/>
      </c>
      <c r="Q26" s="24">
        <f>IF(B26="","",TEXT(B26,"MMMM YYYY"))</f>
        <v/>
      </c>
    </row>
    <row r="27" ht="18" customHeight="1">
      <c r="A27" s="2">
        <f>IF(B27&lt;&gt;"",ROW()-2,"")</f>
        <v/>
      </c>
      <c r="P27" s="2">
        <f>IF(OR(O27="",B27=""),"—",IFERROR(INT(B27)-INT(O27),"—"))</f>
        <v/>
      </c>
      <c r="Q27" s="24">
        <f>IF(B27="","",TEXT(B27,"MMMM YYYY"))</f>
        <v/>
      </c>
    </row>
    <row r="28" ht="18" customHeight="1">
      <c r="A28" s="2">
        <f>IF(B28&lt;&gt;"",ROW()-2,"")</f>
        <v/>
      </c>
      <c r="P28" s="2">
        <f>IF(OR(O28="",B28=""),"—",IFERROR(INT(B28)-INT(O28),"—"))</f>
        <v/>
      </c>
      <c r="Q28" s="24">
        <f>IF(B28="","",TEXT(B28,"MMMM YYYY"))</f>
        <v/>
      </c>
    </row>
    <row r="29" ht="18" customHeight="1">
      <c r="A29" s="2">
        <f>IF(B29&lt;&gt;"",ROW()-2,"")</f>
        <v/>
      </c>
      <c r="P29" s="2">
        <f>IF(OR(O29="",B29=""),"—",IFERROR(INT(B29)-INT(O29),"—"))</f>
        <v/>
      </c>
      <c r="Q29" s="24">
        <f>IF(B29="","",TEXT(B29,"MMMM YYYY"))</f>
        <v/>
      </c>
    </row>
    <row r="30" ht="18" customHeight="1">
      <c r="A30" s="2">
        <f>IF(B30&lt;&gt;"",ROW()-2,"")</f>
        <v/>
      </c>
      <c r="P30" s="2">
        <f>IF(OR(O30="",B30=""),"—",IFERROR(INT(B30)-INT(O30),"—"))</f>
        <v/>
      </c>
      <c r="Q30" s="24">
        <f>IF(B30="","",TEXT(B30,"MMMM YYYY"))</f>
        <v/>
      </c>
    </row>
    <row r="31" ht="18" customHeight="1">
      <c r="A31" s="2">
        <f>IF(B31&lt;&gt;"",ROW()-2,"")</f>
        <v/>
      </c>
      <c r="P31" s="2">
        <f>IF(OR(O31="",B31=""),"—",IFERROR(INT(B31)-INT(O31),"—"))</f>
        <v/>
      </c>
      <c r="Q31" s="24">
        <f>IF(B31="","",TEXT(B31,"MMMM YYYY"))</f>
        <v/>
      </c>
    </row>
    <row r="32" ht="18" customHeight="1">
      <c r="A32" s="2">
        <f>IF(B32&lt;&gt;"",ROW()-2,"")</f>
        <v/>
      </c>
      <c r="P32" s="2">
        <f>IF(OR(O32="",B32=""),"—",IFERROR(INT(B32)-INT(O32),"—"))</f>
        <v/>
      </c>
      <c r="Q32" s="24">
        <f>IF(B32="","",TEXT(B32,"MMMM YYYY"))</f>
        <v/>
      </c>
    </row>
    <row r="33" ht="18" customHeight="1">
      <c r="A33" s="2">
        <f>IF(B33&lt;&gt;"",ROW()-2,"")</f>
        <v/>
      </c>
      <c r="P33" s="2">
        <f>IF(OR(O33="",B33=""),"—",IFERROR(INT(B33)-INT(O33),"—"))</f>
        <v/>
      </c>
      <c r="Q33" s="24">
        <f>IF(B33="","",TEXT(B33,"MMMM YYYY"))</f>
        <v/>
      </c>
    </row>
    <row r="34" ht="18" customHeight="1">
      <c r="A34" s="2">
        <f>IF(B34&lt;&gt;"",ROW()-2,"")</f>
        <v/>
      </c>
      <c r="P34" s="2">
        <f>IF(OR(O34="",B34=""),"—",IFERROR(INT(B34)-INT(O34),"—"))</f>
        <v/>
      </c>
      <c r="Q34" s="24">
        <f>IF(B34="","",TEXT(B34,"MMMM YYYY"))</f>
        <v/>
      </c>
    </row>
    <row r="35" ht="18" customHeight="1">
      <c r="A35" s="2">
        <f>IF(B35&lt;&gt;"",ROW()-2,"")</f>
        <v/>
      </c>
      <c r="P35" s="2">
        <f>IF(OR(O35="",B35=""),"—",IFERROR(INT(B35)-INT(O35),"—"))</f>
        <v/>
      </c>
      <c r="Q35" s="24">
        <f>IF(B35="","",TEXT(B35,"MMMM YYYY"))</f>
        <v/>
      </c>
    </row>
    <row r="36" ht="18" customHeight="1">
      <c r="A36" s="2">
        <f>IF(B36&lt;&gt;"",ROW()-2,"")</f>
        <v/>
      </c>
      <c r="P36" s="2">
        <f>IF(OR(O36="",B36=""),"—",IFERROR(INT(B36)-INT(O36),"—"))</f>
        <v/>
      </c>
      <c r="Q36" s="24">
        <f>IF(B36="","",TEXT(B36,"MMMM YYYY"))</f>
        <v/>
      </c>
    </row>
    <row r="37" ht="18" customHeight="1">
      <c r="A37" s="2">
        <f>IF(B37&lt;&gt;"",ROW()-2,"")</f>
        <v/>
      </c>
      <c r="P37" s="2">
        <f>IF(OR(O37="",B37=""),"—",IFERROR(INT(B37)-INT(O37),"—"))</f>
        <v/>
      </c>
      <c r="Q37" s="24">
        <f>IF(B37="","",TEXT(B37,"MMMM YYYY"))</f>
        <v/>
      </c>
    </row>
    <row r="38" ht="18" customHeight="1">
      <c r="A38" s="2">
        <f>IF(B38&lt;&gt;"",ROW()-2,"")</f>
        <v/>
      </c>
      <c r="P38" s="2">
        <f>IF(OR(O38="",B38=""),"—",IFERROR(INT(B38)-INT(O38),"—"))</f>
        <v/>
      </c>
      <c r="Q38" s="24">
        <f>IF(B38="","",TEXT(B38,"MMMM YYYY"))</f>
        <v/>
      </c>
    </row>
    <row r="39" ht="18" customHeight="1">
      <c r="A39" s="2">
        <f>IF(B39&lt;&gt;"",ROW()-2,"")</f>
        <v/>
      </c>
      <c r="P39" s="2">
        <f>IF(OR(O39="",B39=""),"—",IFERROR(INT(B39)-INT(O39),"—"))</f>
        <v/>
      </c>
      <c r="Q39" s="24">
        <f>IF(B39="","",TEXT(B39,"MMMM YYYY"))</f>
        <v/>
      </c>
    </row>
    <row r="40" ht="18" customHeight="1">
      <c r="A40" s="2">
        <f>IF(B40&lt;&gt;"",ROW()-2,"")</f>
        <v/>
      </c>
      <c r="P40" s="2">
        <f>IF(OR(O40="",B40=""),"—",IFERROR(INT(B40)-INT(O40),"—"))</f>
        <v/>
      </c>
      <c r="Q40" s="24">
        <f>IF(B40="","",TEXT(B40,"MMMM YYYY"))</f>
        <v/>
      </c>
    </row>
    <row r="41" ht="18" customHeight="1">
      <c r="A41" s="2">
        <f>IF(B41&lt;&gt;"",ROW()-2,"")</f>
        <v/>
      </c>
      <c r="P41" s="2">
        <f>IF(OR(O41="",B41=""),"—",IFERROR(INT(B41)-INT(O41),"—"))</f>
        <v/>
      </c>
      <c r="Q41" s="24">
        <f>IF(B41="","",TEXT(B41,"MMMM YYYY"))</f>
        <v/>
      </c>
    </row>
    <row r="42" ht="18" customHeight="1">
      <c r="A42" s="2">
        <f>IF(B42&lt;&gt;"",ROW()-2,"")</f>
        <v/>
      </c>
      <c r="P42" s="2">
        <f>IF(OR(O42="",B42=""),"—",IFERROR(INT(B42)-INT(O42),"—"))</f>
        <v/>
      </c>
      <c r="Q42" s="24">
        <f>IF(B42="","",TEXT(B42,"MMMM YYYY"))</f>
        <v/>
      </c>
    </row>
    <row r="43" ht="18" customHeight="1">
      <c r="A43" s="2">
        <f>IF(B43&lt;&gt;"",ROW()-2,"")</f>
        <v/>
      </c>
      <c r="P43" s="2">
        <f>IF(OR(O43="",B43=""),"—",IFERROR(INT(B43)-INT(O43),"—"))</f>
        <v/>
      </c>
      <c r="Q43" s="24">
        <f>IF(B43="","",TEXT(B43,"MMMM YYYY"))</f>
        <v/>
      </c>
    </row>
    <row r="44" ht="18" customHeight="1">
      <c r="A44" s="2">
        <f>IF(B44&lt;&gt;"",ROW()-2,"")</f>
        <v/>
      </c>
      <c r="P44" s="2">
        <f>IF(OR(O44="",B44=""),"—",IFERROR(INT(B44)-INT(O44),"—"))</f>
        <v/>
      </c>
      <c r="Q44" s="24">
        <f>IF(B44="","",TEXT(B44,"MMMM YYYY"))</f>
        <v/>
      </c>
    </row>
    <row r="45" ht="18" customHeight="1">
      <c r="A45" s="2">
        <f>IF(B45&lt;&gt;"",ROW()-2,"")</f>
        <v/>
      </c>
      <c r="P45" s="2">
        <f>IF(OR(O45="",B45=""),"—",IFERROR(INT(B45)-INT(O45),"—"))</f>
        <v/>
      </c>
      <c r="Q45" s="24">
        <f>IF(B45="","",TEXT(B45,"MMMM YYYY"))</f>
        <v/>
      </c>
    </row>
    <row r="46" ht="18" customHeight="1">
      <c r="A46" s="2">
        <f>IF(B46&lt;&gt;"",ROW()-2,"")</f>
        <v/>
      </c>
      <c r="P46" s="2">
        <f>IF(OR(O46="",B46=""),"—",IFERROR(INT(B46)-INT(O46),"—"))</f>
        <v/>
      </c>
      <c r="Q46" s="24">
        <f>IF(B46="","",TEXT(B46,"MMMM YYYY"))</f>
        <v/>
      </c>
    </row>
    <row r="47" ht="18" customHeight="1">
      <c r="A47" s="2">
        <f>IF(B47&lt;&gt;"",ROW()-2,"")</f>
        <v/>
      </c>
      <c r="P47" s="2">
        <f>IF(OR(O47="",B47=""),"—",IFERROR(INT(B47)-INT(O47),"—"))</f>
        <v/>
      </c>
      <c r="Q47" s="24">
        <f>IF(B47="","",TEXT(B47,"MMMM YYYY"))</f>
        <v/>
      </c>
    </row>
    <row r="48" ht="18" customHeight="1">
      <c r="A48" s="2">
        <f>IF(B48&lt;&gt;"",ROW()-2,"")</f>
        <v/>
      </c>
      <c r="P48" s="2">
        <f>IF(OR(O48="",B48=""),"—",IFERROR(INT(B48)-INT(O48),"—"))</f>
        <v/>
      </c>
      <c r="Q48" s="24">
        <f>IF(B48="","",TEXT(B48,"MMMM YYYY"))</f>
        <v/>
      </c>
    </row>
    <row r="49" ht="18" customHeight="1">
      <c r="A49" s="2">
        <f>IF(B49&lt;&gt;"",ROW()-2,"")</f>
        <v/>
      </c>
      <c r="P49" s="2">
        <f>IF(OR(O49="",B49=""),"—",IFERROR(INT(B49)-INT(O49),"—"))</f>
        <v/>
      </c>
      <c r="Q49" s="24">
        <f>IF(B49="","",TEXT(B49,"MMMM YYYY"))</f>
        <v/>
      </c>
    </row>
    <row r="50" ht="18" customHeight="1">
      <c r="A50" s="2">
        <f>IF(B50&lt;&gt;"",ROW()-2,"")</f>
        <v/>
      </c>
      <c r="P50" s="2">
        <f>IF(OR(O50="",B50=""),"—",IFERROR(INT(B50)-INT(O50),"—"))</f>
        <v/>
      </c>
      <c r="Q50" s="24">
        <f>IF(B50="","",TEXT(B50,"MMMM YYYY"))</f>
        <v/>
      </c>
    </row>
    <row r="51" ht="18" customHeight="1">
      <c r="A51" s="2">
        <f>IF(B51&lt;&gt;"",ROW()-2,"")</f>
        <v/>
      </c>
      <c r="P51" s="2">
        <f>IF(OR(O51="",B51=""),"—",IFERROR(INT(B51)-INT(O51),"—"))</f>
        <v/>
      </c>
      <c r="Q51" s="24">
        <f>IF(B51="","",TEXT(B51,"MMMM YYYY"))</f>
        <v/>
      </c>
    </row>
    <row r="52" ht="18" customHeight="1">
      <c r="A52" s="2">
        <f>IF(B52&lt;&gt;"",ROW()-2,"")</f>
        <v/>
      </c>
      <c r="P52" s="2">
        <f>IF(OR(O52="",B52=""),"—",IFERROR(INT(B52)-INT(O52),"—"))</f>
        <v/>
      </c>
      <c r="Q52" s="24">
        <f>IF(B52="","",TEXT(B52,"MMMM YYYY"))</f>
        <v/>
      </c>
    </row>
    <row r="53" ht="18" customHeight="1">
      <c r="A53" s="2">
        <f>IF(B53&lt;&gt;"",ROW()-2,"")</f>
        <v/>
      </c>
      <c r="P53" s="2">
        <f>IF(OR(O53="",B53=""),"—",IFERROR(INT(B53)-INT(O53),"—"))</f>
        <v/>
      </c>
      <c r="Q53" s="24">
        <f>IF(B53="","",TEXT(B53,"MMMM YYYY"))</f>
        <v/>
      </c>
    </row>
    <row r="54" ht="18" customHeight="1">
      <c r="A54" s="2">
        <f>IF(B54&lt;&gt;"",ROW()-2,"")</f>
        <v/>
      </c>
      <c r="P54" s="2">
        <f>IF(OR(O54="",B54=""),"—",IFERROR(INT(B54)-INT(O54),"—"))</f>
        <v/>
      </c>
      <c r="Q54" s="24">
        <f>IF(B54="","",TEXT(B54,"MMMM YYYY"))</f>
        <v/>
      </c>
    </row>
    <row r="55" ht="18" customHeight="1">
      <c r="A55" s="2">
        <f>IF(B55&lt;&gt;"",ROW()-2,"")</f>
        <v/>
      </c>
      <c r="P55" s="2">
        <f>IF(OR(O55="",B55=""),"—",IFERROR(INT(B55)-INT(O55),"—"))</f>
        <v/>
      </c>
      <c r="Q55" s="24">
        <f>IF(B55="","",TEXT(B55,"MMMM YYYY"))</f>
        <v/>
      </c>
    </row>
    <row r="56" ht="18" customHeight="1">
      <c r="A56" s="2">
        <f>IF(B56&lt;&gt;"",ROW()-2,"")</f>
        <v/>
      </c>
      <c r="P56" s="2">
        <f>IF(OR(O56="",B56=""),"—",IFERROR(INT(B56)-INT(O56),"—"))</f>
        <v/>
      </c>
      <c r="Q56" s="24">
        <f>IF(B56="","",TEXT(B56,"MMMM YYYY"))</f>
        <v/>
      </c>
    </row>
    <row r="57" ht="18" customHeight="1">
      <c r="A57" s="2">
        <f>IF(B57&lt;&gt;"",ROW()-2,"")</f>
        <v/>
      </c>
      <c r="P57" s="2">
        <f>IF(OR(O57="",B57=""),"—",IFERROR(INT(B57)-INT(O57),"—"))</f>
        <v/>
      </c>
      <c r="Q57" s="24">
        <f>IF(B57="","",TEXT(B57,"MMMM YYYY"))</f>
        <v/>
      </c>
    </row>
    <row r="58" ht="18" customHeight="1">
      <c r="A58" s="2">
        <f>IF(B58&lt;&gt;"",ROW()-2,"")</f>
        <v/>
      </c>
      <c r="P58" s="2">
        <f>IF(OR(O58="",B58=""),"—",IFERROR(INT(B58)-INT(O58),"—"))</f>
        <v/>
      </c>
      <c r="Q58" s="24">
        <f>IF(B58="","",TEXT(B58,"MMMM YYYY"))</f>
        <v/>
      </c>
    </row>
    <row r="59" ht="18" customHeight="1">
      <c r="A59" s="2">
        <f>IF(B59&lt;&gt;"",ROW()-2,"")</f>
        <v/>
      </c>
      <c r="P59" s="2">
        <f>IF(OR(O59="",B59=""),"—",IFERROR(INT(B59)-INT(O59),"—"))</f>
        <v/>
      </c>
      <c r="Q59" s="24">
        <f>IF(B59="","",TEXT(B59,"MMMM YYYY"))</f>
        <v/>
      </c>
    </row>
    <row r="60" ht="18" customHeight="1">
      <c r="A60" s="2">
        <f>IF(B60&lt;&gt;"",ROW()-2,"")</f>
        <v/>
      </c>
      <c r="P60" s="2">
        <f>IF(OR(O60="",B60=""),"—",IFERROR(INT(B60)-INT(O60),"—"))</f>
        <v/>
      </c>
      <c r="Q60" s="24">
        <f>IF(B60="","",TEXT(B60,"MMMM YYYY"))</f>
        <v/>
      </c>
    </row>
    <row r="61" ht="18" customHeight="1">
      <c r="A61" s="2">
        <f>IF(B61&lt;&gt;"",ROW()-2,"")</f>
        <v/>
      </c>
      <c r="P61" s="2">
        <f>IF(OR(O61="",B61=""),"—",IFERROR(INT(B61)-INT(O61),"—"))</f>
        <v/>
      </c>
      <c r="Q61" s="24">
        <f>IF(B61="","",TEXT(B61,"MMMM YYYY"))</f>
        <v/>
      </c>
    </row>
    <row r="62" ht="18" customHeight="1">
      <c r="A62" s="2">
        <f>IF(B62&lt;&gt;"",ROW()-2,"")</f>
        <v/>
      </c>
      <c r="P62" s="2">
        <f>IF(OR(O62="",B62=""),"—",IFERROR(INT(B62)-INT(O62),"—"))</f>
        <v/>
      </c>
      <c r="Q62" s="24">
        <f>IF(B62="","",TEXT(B62,"MMMM YYYY"))</f>
        <v/>
      </c>
    </row>
    <row r="63" ht="18" customHeight="1">
      <c r="A63" s="2">
        <f>IF(B63&lt;&gt;"",ROW()-2,"")</f>
        <v/>
      </c>
      <c r="P63" s="2">
        <f>IF(OR(O63="",B63=""),"—",IFERROR(INT(B63)-INT(O63),"—"))</f>
        <v/>
      </c>
      <c r="Q63" s="24">
        <f>IF(B63="","",TEXT(B63,"MMMM YYYY"))</f>
        <v/>
      </c>
    </row>
    <row r="64" ht="18" customHeight="1">
      <c r="A64" s="2">
        <f>IF(B64&lt;&gt;"",ROW()-2,"")</f>
        <v/>
      </c>
      <c r="P64" s="2">
        <f>IF(OR(O64="",B64=""),"—",IFERROR(INT(B64)-INT(O64),"—"))</f>
        <v/>
      </c>
      <c r="Q64" s="24">
        <f>IF(B64="","",TEXT(B64,"MMMM YYYY"))</f>
        <v/>
      </c>
    </row>
    <row r="65" ht="18" customHeight="1">
      <c r="A65" s="2">
        <f>IF(B65&lt;&gt;"",ROW()-2,"")</f>
        <v/>
      </c>
      <c r="P65" s="2">
        <f>IF(OR(O65="",B65=""),"—",IFERROR(INT(B65)-INT(O65),"—"))</f>
        <v/>
      </c>
      <c r="Q65" s="24">
        <f>IF(B65="","",TEXT(B65,"MMMM YYYY"))</f>
        <v/>
      </c>
    </row>
    <row r="66" ht="18" customHeight="1">
      <c r="A66" s="2">
        <f>IF(B66&lt;&gt;"",ROW()-2,"")</f>
        <v/>
      </c>
      <c r="P66" s="2">
        <f>IF(OR(O66="",B66=""),"—",IFERROR(INT(B66)-INT(O66),"—"))</f>
        <v/>
      </c>
      <c r="Q66" s="24">
        <f>IF(B66="","",TEXT(B66,"MMMM YYYY"))</f>
        <v/>
      </c>
    </row>
    <row r="67" ht="18" customHeight="1">
      <c r="A67" s="2">
        <f>IF(B67&lt;&gt;"",ROW()-2,"")</f>
        <v/>
      </c>
      <c r="P67" s="2">
        <f>IF(OR(O67="",B67=""),"—",IFERROR(INT(B67)-INT(O67),"—"))</f>
        <v/>
      </c>
      <c r="Q67" s="24">
        <f>IF(B67="","",TEXT(B67,"MMMM YYYY"))</f>
        <v/>
      </c>
    </row>
    <row r="68" ht="18" customHeight="1">
      <c r="A68" s="2">
        <f>IF(B68&lt;&gt;"",ROW()-2,"")</f>
        <v/>
      </c>
      <c r="P68" s="2">
        <f>IF(OR(O68="",B68=""),"—",IFERROR(INT(B68)-INT(O68),"—"))</f>
        <v/>
      </c>
      <c r="Q68" s="24">
        <f>IF(B68="","",TEXT(B68,"MMMM YYYY"))</f>
        <v/>
      </c>
    </row>
    <row r="69" ht="18" customHeight="1">
      <c r="A69" s="2">
        <f>IF(B69&lt;&gt;"",ROW()-2,"")</f>
        <v/>
      </c>
      <c r="P69" s="2">
        <f>IF(OR(O69="",B69=""),"—",IFERROR(INT(B69)-INT(O69),"—"))</f>
        <v/>
      </c>
      <c r="Q69" s="24">
        <f>IF(B69="","",TEXT(B69,"MMMM YYYY"))</f>
        <v/>
      </c>
    </row>
    <row r="70" ht="18" customHeight="1">
      <c r="A70" s="2">
        <f>IF(B70&lt;&gt;"",ROW()-2,"")</f>
        <v/>
      </c>
      <c r="P70" s="2">
        <f>IF(OR(O70="",B70=""),"—",IFERROR(INT(B70)-INT(O70),"—"))</f>
        <v/>
      </c>
      <c r="Q70" s="24">
        <f>IF(B70="","",TEXT(B70,"MMMM YYYY"))</f>
        <v/>
      </c>
    </row>
    <row r="71" ht="18" customHeight="1">
      <c r="A71" s="2">
        <f>IF(B71&lt;&gt;"",ROW()-2,"")</f>
        <v/>
      </c>
      <c r="P71" s="2">
        <f>IF(OR(O71="",B71=""),"—",IFERROR(INT(B71)-INT(O71),"—"))</f>
        <v/>
      </c>
      <c r="Q71" s="24">
        <f>IF(B71="","",TEXT(B71,"MMMM YYYY"))</f>
        <v/>
      </c>
    </row>
    <row r="72" ht="18" customHeight="1">
      <c r="A72" s="2">
        <f>IF(B72&lt;&gt;"",ROW()-2,"")</f>
        <v/>
      </c>
      <c r="P72" s="2">
        <f>IF(OR(O72="",B72=""),"—",IFERROR(INT(B72)-INT(O72),"—"))</f>
        <v/>
      </c>
      <c r="Q72" s="24">
        <f>IF(B72="","",TEXT(B72,"MMMM YYYY"))</f>
        <v/>
      </c>
    </row>
    <row r="73" ht="18" customHeight="1">
      <c r="A73" s="2">
        <f>IF(B73&lt;&gt;"",ROW()-2,"")</f>
        <v/>
      </c>
      <c r="P73" s="2">
        <f>IF(OR(O73="",B73=""),"—",IFERROR(INT(B73)-INT(O73),"—"))</f>
        <v/>
      </c>
      <c r="Q73" s="24">
        <f>IF(B73="","",TEXT(B73,"MMMM YYYY"))</f>
        <v/>
      </c>
    </row>
    <row r="74" ht="18" customHeight="1">
      <c r="A74" s="2">
        <f>IF(B74&lt;&gt;"",ROW()-2,"")</f>
        <v/>
      </c>
      <c r="P74" s="2">
        <f>IF(OR(O74="",B74=""),"—",IFERROR(INT(B74)-INT(O74),"—"))</f>
        <v/>
      </c>
      <c r="Q74" s="24">
        <f>IF(B74="","",TEXT(B74,"MMMM YYYY"))</f>
        <v/>
      </c>
    </row>
    <row r="75" ht="18" customHeight="1">
      <c r="A75" s="2">
        <f>IF(B75&lt;&gt;"",ROW()-2,"")</f>
        <v/>
      </c>
      <c r="P75" s="2">
        <f>IF(OR(O75="",B75=""),"—",IFERROR(INT(B75)-INT(O75),"—"))</f>
        <v/>
      </c>
      <c r="Q75" s="24">
        <f>IF(B75="","",TEXT(B75,"MMMM YYYY"))</f>
        <v/>
      </c>
    </row>
    <row r="76" ht="18" customHeight="1">
      <c r="A76" s="2">
        <f>IF(B76&lt;&gt;"",ROW()-2,"")</f>
        <v/>
      </c>
      <c r="P76" s="2">
        <f>IF(OR(O76="",B76=""),"—",IFERROR(INT(B76)-INT(O76),"—"))</f>
        <v/>
      </c>
      <c r="Q76" s="24">
        <f>IF(B76="","",TEXT(B76,"MMMM YYYY"))</f>
        <v/>
      </c>
    </row>
    <row r="77" ht="18" customHeight="1">
      <c r="A77" s="2">
        <f>IF(B77&lt;&gt;"",ROW()-2,"")</f>
        <v/>
      </c>
      <c r="P77" s="2">
        <f>IF(OR(O77="",B77=""),"—",IFERROR(INT(B77)-INT(O77),"—"))</f>
        <v/>
      </c>
      <c r="Q77" s="24">
        <f>IF(B77="","",TEXT(B77,"MMMM YYYY"))</f>
        <v/>
      </c>
    </row>
    <row r="78" ht="18" customHeight="1">
      <c r="A78" s="2">
        <f>IF(B78&lt;&gt;"",ROW()-2,"")</f>
        <v/>
      </c>
      <c r="P78" s="2">
        <f>IF(OR(O78="",B78=""),"—",IFERROR(INT(B78)-INT(O78),"—"))</f>
        <v/>
      </c>
      <c r="Q78" s="24">
        <f>IF(B78="","",TEXT(B78,"MMMM YYYY"))</f>
        <v/>
      </c>
    </row>
    <row r="79" ht="18" customHeight="1">
      <c r="A79" s="2">
        <f>IF(B79&lt;&gt;"",ROW()-2,"")</f>
        <v/>
      </c>
      <c r="P79" s="2">
        <f>IF(OR(O79="",B79=""),"—",IFERROR(INT(B79)-INT(O79),"—"))</f>
        <v/>
      </c>
      <c r="Q79" s="24">
        <f>IF(B79="","",TEXT(B79,"MMMM YYYY"))</f>
        <v/>
      </c>
    </row>
    <row r="80" ht="18" customHeight="1">
      <c r="A80" s="2">
        <f>IF(B80&lt;&gt;"",ROW()-2,"")</f>
        <v/>
      </c>
      <c r="P80" s="2">
        <f>IF(OR(O80="",B80=""),"—",IFERROR(INT(B80)-INT(O80),"—"))</f>
        <v/>
      </c>
      <c r="Q80" s="24">
        <f>IF(B80="","",TEXT(B80,"MMMM YYYY"))</f>
        <v/>
      </c>
    </row>
    <row r="81" ht="18" customHeight="1">
      <c r="A81" s="2">
        <f>IF(B81&lt;&gt;"",ROW()-2,"")</f>
        <v/>
      </c>
      <c r="P81" s="2">
        <f>IF(OR(O81="",B81=""),"—",IFERROR(INT(B81)-INT(O81),"—"))</f>
        <v/>
      </c>
      <c r="Q81" s="24">
        <f>IF(B81="","",TEXT(B81,"MMMM YYYY"))</f>
        <v/>
      </c>
    </row>
    <row r="82" ht="18" customHeight="1">
      <c r="A82" s="2">
        <f>IF(B82&lt;&gt;"",ROW()-2,"")</f>
        <v/>
      </c>
      <c r="P82" s="2">
        <f>IF(OR(O82="",B82=""),"—",IFERROR(INT(B82)-INT(O82),"—"))</f>
        <v/>
      </c>
      <c r="Q82" s="24">
        <f>IF(B82="","",TEXT(B82,"MMMM YYYY"))</f>
        <v/>
      </c>
    </row>
    <row r="83" ht="18" customHeight="1">
      <c r="A83" s="2">
        <f>IF(B83&lt;&gt;"",ROW()-2,"")</f>
        <v/>
      </c>
      <c r="P83" s="2">
        <f>IF(OR(O83="",B83=""),"—",IFERROR(INT(B83)-INT(O83),"—"))</f>
        <v/>
      </c>
      <c r="Q83" s="24">
        <f>IF(B83="","",TEXT(B83,"MMMM YYYY"))</f>
        <v/>
      </c>
    </row>
    <row r="84" ht="18" customHeight="1">
      <c r="A84" s="2">
        <f>IF(B84&lt;&gt;"",ROW()-2,"")</f>
        <v/>
      </c>
      <c r="P84" s="2">
        <f>IF(OR(O84="",B84=""),"—",IFERROR(INT(B84)-INT(O84),"—"))</f>
        <v/>
      </c>
      <c r="Q84" s="24">
        <f>IF(B84="","",TEXT(B84,"MMMM YYYY"))</f>
        <v/>
      </c>
    </row>
    <row r="85" ht="18" customHeight="1">
      <c r="A85" s="2">
        <f>IF(B85&lt;&gt;"",ROW()-2,"")</f>
        <v/>
      </c>
      <c r="P85" s="2">
        <f>IF(OR(O85="",B85=""),"—",IFERROR(INT(B85)-INT(O85),"—"))</f>
        <v/>
      </c>
      <c r="Q85" s="24">
        <f>IF(B85="","",TEXT(B85,"MMMM YYYY"))</f>
        <v/>
      </c>
    </row>
    <row r="86" ht="18" customHeight="1">
      <c r="A86" s="2">
        <f>IF(B86&lt;&gt;"",ROW()-2,"")</f>
        <v/>
      </c>
      <c r="P86" s="2">
        <f>IF(OR(O86="",B86=""),"—",IFERROR(INT(B86)-INT(O86),"—"))</f>
        <v/>
      </c>
      <c r="Q86" s="24">
        <f>IF(B86="","",TEXT(B86,"MMMM YYYY"))</f>
        <v/>
      </c>
    </row>
    <row r="87" ht="18" customHeight="1">
      <c r="A87" s="2">
        <f>IF(B87&lt;&gt;"",ROW()-2,"")</f>
        <v/>
      </c>
      <c r="P87" s="2">
        <f>IF(OR(O87="",B87=""),"—",IFERROR(INT(B87)-INT(O87),"—"))</f>
        <v/>
      </c>
      <c r="Q87" s="24">
        <f>IF(B87="","",TEXT(B87,"MMMM YYYY"))</f>
        <v/>
      </c>
    </row>
    <row r="88" ht="18" customHeight="1">
      <c r="A88" s="2">
        <f>IF(B88&lt;&gt;"",ROW()-2,"")</f>
        <v/>
      </c>
      <c r="P88" s="2">
        <f>IF(OR(O88="",B88=""),"—",IFERROR(INT(B88)-INT(O88),"—"))</f>
        <v/>
      </c>
      <c r="Q88" s="24">
        <f>IF(B88="","",TEXT(B88,"MMMM YYYY"))</f>
        <v/>
      </c>
    </row>
    <row r="89" ht="18" customHeight="1">
      <c r="A89" s="2">
        <f>IF(B89&lt;&gt;"",ROW()-2,"")</f>
        <v/>
      </c>
      <c r="P89" s="2">
        <f>IF(OR(O89="",B89=""),"—",IFERROR(INT(B89)-INT(O89),"—"))</f>
        <v/>
      </c>
      <c r="Q89" s="24">
        <f>IF(B89="","",TEXT(B89,"MMMM YYYY"))</f>
        <v/>
      </c>
    </row>
    <row r="90" ht="18" customHeight="1">
      <c r="A90" s="2">
        <f>IF(B90&lt;&gt;"",ROW()-2,"")</f>
        <v/>
      </c>
      <c r="P90" s="2">
        <f>IF(OR(O90="",B90=""),"—",IFERROR(INT(B90)-INT(O90),"—"))</f>
        <v/>
      </c>
      <c r="Q90" s="24">
        <f>IF(B90="","",TEXT(B90,"MMMM YYYY"))</f>
        <v/>
      </c>
    </row>
    <row r="91" ht="18" customHeight="1">
      <c r="A91" s="2">
        <f>IF(B91&lt;&gt;"",ROW()-2,"")</f>
        <v/>
      </c>
      <c r="P91" s="2">
        <f>IF(OR(O91="",B91=""),"—",IFERROR(INT(B91)-INT(O91),"—"))</f>
        <v/>
      </c>
      <c r="Q91" s="24">
        <f>IF(B91="","",TEXT(B91,"MMMM YYYY"))</f>
        <v/>
      </c>
    </row>
    <row r="92" ht="18" customHeight="1">
      <c r="A92" s="2">
        <f>IF(B92&lt;&gt;"",ROW()-2,"")</f>
        <v/>
      </c>
      <c r="P92" s="2">
        <f>IF(OR(O92="",B92=""),"—",IFERROR(INT(B92)-INT(O92),"—"))</f>
        <v/>
      </c>
      <c r="Q92" s="24">
        <f>IF(B92="","",TEXT(B92,"MMMM YYYY"))</f>
        <v/>
      </c>
    </row>
    <row r="93" ht="18" customHeight="1">
      <c r="A93" s="2">
        <f>IF(B93&lt;&gt;"",ROW()-2,"")</f>
        <v/>
      </c>
      <c r="P93" s="2">
        <f>IF(OR(O93="",B93=""),"—",IFERROR(INT(B93)-INT(O93),"—"))</f>
        <v/>
      </c>
      <c r="Q93" s="24">
        <f>IF(B93="","",TEXT(B93,"MMMM YYYY"))</f>
        <v/>
      </c>
    </row>
    <row r="94" ht="18" customHeight="1">
      <c r="A94" s="2">
        <f>IF(B94&lt;&gt;"",ROW()-2,"")</f>
        <v/>
      </c>
      <c r="P94" s="2">
        <f>IF(OR(O94="",B94=""),"—",IFERROR(INT(B94)-INT(O94),"—"))</f>
        <v/>
      </c>
      <c r="Q94" s="24">
        <f>IF(B94="","",TEXT(B94,"MMMM YYYY"))</f>
        <v/>
      </c>
    </row>
    <row r="95" ht="18" customHeight="1">
      <c r="A95" s="2">
        <f>IF(B95&lt;&gt;"",ROW()-2,"")</f>
        <v/>
      </c>
      <c r="P95" s="2">
        <f>IF(OR(O95="",B95=""),"—",IFERROR(INT(B95)-INT(O95),"—"))</f>
        <v/>
      </c>
      <c r="Q95" s="24">
        <f>IF(B95="","",TEXT(B95,"MMMM YYYY"))</f>
        <v/>
      </c>
    </row>
    <row r="96" ht="18" customHeight="1">
      <c r="A96" s="2">
        <f>IF(B96&lt;&gt;"",ROW()-2,"")</f>
        <v/>
      </c>
      <c r="P96" s="2">
        <f>IF(OR(O96="",B96=""),"—",IFERROR(INT(B96)-INT(O96),"—"))</f>
        <v/>
      </c>
      <c r="Q96" s="24">
        <f>IF(B96="","",TEXT(B96,"MMMM YYYY"))</f>
        <v/>
      </c>
    </row>
    <row r="97" ht="18" customHeight="1">
      <c r="A97" s="2">
        <f>IF(B97&lt;&gt;"",ROW()-2,"")</f>
        <v/>
      </c>
      <c r="P97" s="2">
        <f>IF(OR(O97="",B97=""),"—",IFERROR(INT(B97)-INT(O97),"—"))</f>
        <v/>
      </c>
      <c r="Q97" s="24">
        <f>IF(B97="","",TEXT(B97,"MMMM YYYY"))</f>
        <v/>
      </c>
    </row>
    <row r="98" ht="18" customHeight="1">
      <c r="A98" s="2">
        <f>IF(B98&lt;&gt;"",ROW()-2,"")</f>
        <v/>
      </c>
      <c r="P98" s="2">
        <f>IF(OR(O98="",B98=""),"—",IFERROR(INT(B98)-INT(O98),"—"))</f>
        <v/>
      </c>
      <c r="Q98" s="24">
        <f>IF(B98="","",TEXT(B98,"MMMM YYYY"))</f>
        <v/>
      </c>
    </row>
    <row r="99" ht="18" customHeight="1">
      <c r="A99" s="2">
        <f>IF(B99&lt;&gt;"",ROW()-2,"")</f>
        <v/>
      </c>
      <c r="P99" s="2">
        <f>IF(OR(O99="",B99=""),"—",IFERROR(INT(B99)-INT(O99),"—"))</f>
        <v/>
      </c>
      <c r="Q99" s="24">
        <f>IF(B99="","",TEXT(B99,"MMMM YYYY"))</f>
        <v/>
      </c>
    </row>
    <row r="100" ht="18" customHeight="1">
      <c r="A100" s="2">
        <f>IF(B100&lt;&gt;"",ROW()-2,"")</f>
        <v/>
      </c>
      <c r="P100" s="2">
        <f>IF(OR(O100="",B100=""),"—",IFERROR(INT(B100)-INT(O100),"—"))</f>
        <v/>
      </c>
      <c r="Q100" s="24">
        <f>IF(B100="","",TEXT(B100,"MMMM YYYY"))</f>
        <v/>
      </c>
    </row>
    <row r="101" ht="18" customHeight="1">
      <c r="A101" s="2">
        <f>IF(B101&lt;&gt;"",ROW()-2,"")</f>
        <v/>
      </c>
      <c r="P101" s="2">
        <f>IF(OR(O101="",B101=""),"—",IFERROR(INT(B101)-INT(O101),"—"))</f>
        <v/>
      </c>
      <c r="Q101" s="24">
        <f>IF(B101="","",TEXT(B101,"MMMM YYYY"))</f>
        <v/>
      </c>
    </row>
    <row r="102" ht="18" customHeight="1">
      <c r="A102" s="2">
        <f>IF(B102&lt;&gt;"",ROW()-2,"")</f>
        <v/>
      </c>
      <c r="P102" s="2">
        <f>IF(OR(O102="",B102=""),"—",IFERROR(INT(B102)-INT(O102),"—"))</f>
        <v/>
      </c>
      <c r="Q102" s="24">
        <f>IF(B102="","",TEXT(B102,"MMMM YYYY"))</f>
        <v/>
      </c>
    </row>
    <row r="103" ht="18" customHeight="1">
      <c r="A103" s="2">
        <f>IF(B103&lt;&gt;"",ROW()-2,"")</f>
        <v/>
      </c>
      <c r="P103" s="2">
        <f>IF(OR(O103="",B103=""),"—",IFERROR(INT(B103)-INT(O103),"—"))</f>
        <v/>
      </c>
      <c r="Q103" s="24">
        <f>IF(B103="","",TEXT(B103,"MMMM YYYY"))</f>
        <v/>
      </c>
    </row>
    <row r="104" ht="18" customHeight="1">
      <c r="A104" s="2">
        <f>IF(B104&lt;&gt;"",ROW()-2,"")</f>
        <v/>
      </c>
      <c r="P104" s="2">
        <f>IF(OR(O104="",B104=""),"—",IFERROR(INT(B104)-INT(O104),"—"))</f>
        <v/>
      </c>
      <c r="Q104" s="24">
        <f>IF(B104="","",TEXT(B104,"MMMM YYYY"))</f>
        <v/>
      </c>
    </row>
    <row r="105" ht="18" customHeight="1">
      <c r="A105" s="2">
        <f>IF(B105&lt;&gt;"",ROW()-2,"")</f>
        <v/>
      </c>
      <c r="P105" s="2">
        <f>IF(OR(O105="",B105=""),"—",IFERROR(INT(B105)-INT(O105),"—"))</f>
        <v/>
      </c>
      <c r="Q105" s="24">
        <f>IF(B105="","",TEXT(B105,"MMMM YYYY"))</f>
        <v/>
      </c>
    </row>
    <row r="106" ht="18" customHeight="1">
      <c r="A106" s="2">
        <f>IF(B106&lt;&gt;"",ROW()-2,"")</f>
        <v/>
      </c>
      <c r="P106" s="2">
        <f>IF(OR(O106="",B106=""),"—",IFERROR(INT(B106)-INT(O106),"—"))</f>
        <v/>
      </c>
      <c r="Q106" s="24">
        <f>IF(B106="","",TEXT(B106,"MMMM YYYY"))</f>
        <v/>
      </c>
    </row>
    <row r="107" ht="18" customHeight="1">
      <c r="A107" s="2">
        <f>IF(B107&lt;&gt;"",ROW()-2,"")</f>
        <v/>
      </c>
      <c r="P107" s="2">
        <f>IF(OR(O107="",B107=""),"—",IFERROR(INT(B107)-INT(O107),"—"))</f>
        <v/>
      </c>
      <c r="Q107" s="24">
        <f>IF(B107="","",TEXT(B107,"MMMM YYYY"))</f>
        <v/>
      </c>
    </row>
    <row r="108" ht="18" customHeight="1">
      <c r="A108" s="2">
        <f>IF(B108&lt;&gt;"",ROW()-2,"")</f>
        <v/>
      </c>
      <c r="P108" s="2">
        <f>IF(OR(O108="",B108=""),"—",IFERROR(INT(B108)-INT(O108),"—"))</f>
        <v/>
      </c>
      <c r="Q108" s="24">
        <f>IF(B108="","",TEXT(B108,"MMMM YYYY"))</f>
        <v/>
      </c>
    </row>
    <row r="109" ht="18" customHeight="1">
      <c r="A109" s="2">
        <f>IF(B109&lt;&gt;"",ROW()-2,"")</f>
        <v/>
      </c>
      <c r="P109" s="2">
        <f>IF(OR(O109="",B109=""),"—",IFERROR(INT(B109)-INT(O109),"—"))</f>
        <v/>
      </c>
      <c r="Q109" s="24">
        <f>IF(B109="","",TEXT(B109,"MMMM YYYY"))</f>
        <v/>
      </c>
    </row>
    <row r="110" ht="18" customHeight="1">
      <c r="A110" s="2">
        <f>IF(B110&lt;&gt;"",ROW()-2,"")</f>
        <v/>
      </c>
      <c r="P110" s="2">
        <f>IF(OR(O110="",B110=""),"—",IFERROR(INT(B110)-INT(O110),"—"))</f>
        <v/>
      </c>
      <c r="Q110" s="24">
        <f>IF(B110="","",TEXT(B110,"MMMM YYYY"))</f>
        <v/>
      </c>
    </row>
    <row r="111" ht="18" customHeight="1">
      <c r="A111" s="2">
        <f>IF(B111&lt;&gt;"",ROW()-2,"")</f>
        <v/>
      </c>
      <c r="P111" s="2">
        <f>IF(OR(O111="",B111=""),"—",IFERROR(INT(B111)-INT(O111),"—"))</f>
        <v/>
      </c>
      <c r="Q111" s="24">
        <f>IF(B111="","",TEXT(B111,"MMMM YYYY"))</f>
        <v/>
      </c>
    </row>
    <row r="112" ht="18" customHeight="1">
      <c r="A112" s="2">
        <f>IF(B112&lt;&gt;"",ROW()-2,"")</f>
        <v/>
      </c>
      <c r="P112" s="2">
        <f>IF(OR(O112="",B112=""),"—",IFERROR(INT(B112)-INT(O112),"—"))</f>
        <v/>
      </c>
      <c r="Q112" s="24">
        <f>IF(B112="","",TEXT(B112,"MMMM YYYY"))</f>
        <v/>
      </c>
    </row>
    <row r="113" ht="18" customHeight="1">
      <c r="A113" s="2">
        <f>IF(B113&lt;&gt;"",ROW()-2,"")</f>
        <v/>
      </c>
      <c r="P113" s="2">
        <f>IF(OR(O113="",B113=""),"—",IFERROR(INT(B113)-INT(O113),"—"))</f>
        <v/>
      </c>
      <c r="Q113" s="24">
        <f>IF(B113="","",TEXT(B113,"MMMM YYYY"))</f>
        <v/>
      </c>
    </row>
    <row r="114" ht="18" customHeight="1">
      <c r="A114" s="2">
        <f>IF(B114&lt;&gt;"",ROW()-2,"")</f>
        <v/>
      </c>
      <c r="P114" s="2">
        <f>IF(OR(O114="",B114=""),"—",IFERROR(INT(B114)-INT(O114),"—"))</f>
        <v/>
      </c>
      <c r="Q114" s="24">
        <f>IF(B114="","",TEXT(B114,"MMMM YYYY"))</f>
        <v/>
      </c>
    </row>
    <row r="115" ht="18" customHeight="1">
      <c r="A115" s="2">
        <f>IF(B115&lt;&gt;"",ROW()-2,"")</f>
        <v/>
      </c>
      <c r="P115" s="2">
        <f>IF(OR(O115="",B115=""),"—",IFERROR(INT(B115)-INT(O115),"—"))</f>
        <v/>
      </c>
      <c r="Q115" s="24">
        <f>IF(B115="","",TEXT(B115,"MMMM YYYY"))</f>
        <v/>
      </c>
    </row>
    <row r="116" ht="18" customHeight="1">
      <c r="A116" s="2">
        <f>IF(B116&lt;&gt;"",ROW()-2,"")</f>
        <v/>
      </c>
      <c r="P116" s="2">
        <f>IF(OR(O116="",B116=""),"—",IFERROR(INT(B116)-INT(O116),"—"))</f>
        <v/>
      </c>
      <c r="Q116" s="24">
        <f>IF(B116="","",TEXT(B116,"MMMM YYYY"))</f>
        <v/>
      </c>
    </row>
    <row r="117" ht="18" customHeight="1">
      <c r="A117" s="2">
        <f>IF(B117&lt;&gt;"",ROW()-2,"")</f>
        <v/>
      </c>
      <c r="P117" s="2">
        <f>IF(OR(O117="",B117=""),"—",IFERROR(INT(B117)-INT(O117),"—"))</f>
        <v/>
      </c>
      <c r="Q117" s="24">
        <f>IF(B117="","",TEXT(B117,"MMMM YYYY"))</f>
        <v/>
      </c>
    </row>
    <row r="118" ht="18" customHeight="1">
      <c r="A118" s="2">
        <f>IF(B118&lt;&gt;"",ROW()-2,"")</f>
        <v/>
      </c>
      <c r="P118" s="2">
        <f>IF(OR(O118="",B118=""),"—",IFERROR(INT(B118)-INT(O118),"—"))</f>
        <v/>
      </c>
      <c r="Q118" s="24">
        <f>IF(B118="","",TEXT(B118,"MMMM YYYY"))</f>
        <v/>
      </c>
    </row>
    <row r="119" ht="18" customHeight="1">
      <c r="A119" s="2">
        <f>IF(B119&lt;&gt;"",ROW()-2,"")</f>
        <v/>
      </c>
      <c r="P119" s="2">
        <f>IF(OR(O119="",B119=""),"—",IFERROR(INT(B119)-INT(O119),"—"))</f>
        <v/>
      </c>
      <c r="Q119" s="24">
        <f>IF(B119="","",TEXT(B119,"MMMM YYYY"))</f>
        <v/>
      </c>
    </row>
    <row r="120" ht="18" customHeight="1">
      <c r="A120" s="2">
        <f>IF(B120&lt;&gt;"",ROW()-2,"")</f>
        <v/>
      </c>
      <c r="P120" s="2">
        <f>IF(OR(O120="",B120=""),"—",IFERROR(INT(B120)-INT(O120),"—"))</f>
        <v/>
      </c>
      <c r="Q120" s="24">
        <f>IF(B120="","",TEXT(B120,"MMMM YYYY"))</f>
        <v/>
      </c>
    </row>
    <row r="121" ht="18" customHeight="1">
      <c r="A121" s="2">
        <f>IF(B121&lt;&gt;"",ROW()-2,"")</f>
        <v/>
      </c>
      <c r="P121" s="2">
        <f>IF(OR(O121="",B121=""),"—",IFERROR(INT(B121)-INT(O121),"—"))</f>
        <v/>
      </c>
      <c r="Q121" s="24">
        <f>IF(B121="","",TEXT(B121,"MMMM YYYY"))</f>
        <v/>
      </c>
    </row>
    <row r="122" ht="18" customHeight="1">
      <c r="A122" s="2">
        <f>IF(B122&lt;&gt;"",ROW()-2,"")</f>
        <v/>
      </c>
      <c r="P122" s="2">
        <f>IF(OR(O122="",B122=""),"—",IFERROR(INT(B122)-INT(O122),"—"))</f>
        <v/>
      </c>
      <c r="Q122" s="24">
        <f>IF(B122="","",TEXT(B122,"MMMM YYYY"))</f>
        <v/>
      </c>
    </row>
    <row r="123" ht="18" customHeight="1">
      <c r="A123" s="2">
        <f>IF(B123&lt;&gt;"",ROW()-2,"")</f>
        <v/>
      </c>
      <c r="P123" s="2">
        <f>IF(OR(O123="",B123=""),"—",IFERROR(INT(B123)-INT(O123),"—"))</f>
        <v/>
      </c>
      <c r="Q123" s="24">
        <f>IF(B123="","",TEXT(B123,"MMMM YYYY"))</f>
        <v/>
      </c>
    </row>
    <row r="124" ht="18" customHeight="1">
      <c r="A124" s="2">
        <f>IF(B124&lt;&gt;"",ROW()-2,"")</f>
        <v/>
      </c>
      <c r="P124" s="2">
        <f>IF(OR(O124="",B124=""),"—",IFERROR(INT(B124)-INT(O124),"—"))</f>
        <v/>
      </c>
      <c r="Q124" s="24">
        <f>IF(B124="","",TEXT(B124,"MMMM YYYY"))</f>
        <v/>
      </c>
    </row>
    <row r="125" ht="18" customHeight="1">
      <c r="A125" s="2">
        <f>IF(B125&lt;&gt;"",ROW()-2,"")</f>
        <v/>
      </c>
      <c r="P125" s="2">
        <f>IF(OR(O125="",B125=""),"—",IFERROR(INT(B125)-INT(O125),"—"))</f>
        <v/>
      </c>
      <c r="Q125" s="24">
        <f>IF(B125="","",TEXT(B125,"MMMM YYYY"))</f>
        <v/>
      </c>
    </row>
    <row r="126" ht="18" customHeight="1">
      <c r="A126" s="2">
        <f>IF(B126&lt;&gt;"",ROW()-2,"")</f>
        <v/>
      </c>
      <c r="P126" s="2">
        <f>IF(OR(O126="",B126=""),"—",IFERROR(INT(B126)-INT(O126),"—"))</f>
        <v/>
      </c>
      <c r="Q126" s="24">
        <f>IF(B126="","",TEXT(B126,"MMMM YYYY"))</f>
        <v/>
      </c>
    </row>
    <row r="127" ht="18" customHeight="1">
      <c r="A127" s="2">
        <f>IF(B127&lt;&gt;"",ROW()-2,"")</f>
        <v/>
      </c>
      <c r="P127" s="2">
        <f>IF(OR(O127="",B127=""),"—",IFERROR(INT(B127)-INT(O127),"—"))</f>
        <v/>
      </c>
      <c r="Q127" s="24">
        <f>IF(B127="","",TEXT(B127,"MMMM YYYY"))</f>
        <v/>
      </c>
    </row>
    <row r="128" ht="18" customHeight="1">
      <c r="A128" s="2">
        <f>IF(B128&lt;&gt;"",ROW()-2,"")</f>
        <v/>
      </c>
      <c r="P128" s="2">
        <f>IF(OR(O128="",B128=""),"—",IFERROR(INT(B128)-INT(O128),"—"))</f>
        <v/>
      </c>
      <c r="Q128" s="24">
        <f>IF(B128="","",TEXT(B128,"MMMM YYYY"))</f>
        <v/>
      </c>
    </row>
    <row r="129" ht="18" customHeight="1">
      <c r="A129" s="2">
        <f>IF(B129&lt;&gt;"",ROW()-2,"")</f>
        <v/>
      </c>
      <c r="P129" s="2">
        <f>IF(OR(O129="",B129=""),"—",IFERROR(INT(B129)-INT(O129),"—"))</f>
        <v/>
      </c>
      <c r="Q129" s="24">
        <f>IF(B129="","",TEXT(B129,"MMMM YYYY"))</f>
        <v/>
      </c>
    </row>
    <row r="130" ht="18" customHeight="1">
      <c r="A130" s="2">
        <f>IF(B130&lt;&gt;"",ROW()-2,"")</f>
        <v/>
      </c>
      <c r="P130" s="2">
        <f>IF(OR(O130="",B130=""),"—",IFERROR(INT(B130)-INT(O130),"—"))</f>
        <v/>
      </c>
      <c r="Q130" s="24">
        <f>IF(B130="","",TEXT(B130,"MMMM YYYY"))</f>
        <v/>
      </c>
    </row>
    <row r="131" ht="18" customHeight="1">
      <c r="A131" s="2">
        <f>IF(B131&lt;&gt;"",ROW()-2,"")</f>
        <v/>
      </c>
      <c r="P131" s="2">
        <f>IF(OR(O131="",B131=""),"—",IFERROR(INT(B131)-INT(O131),"—"))</f>
        <v/>
      </c>
      <c r="Q131" s="24">
        <f>IF(B131="","",TEXT(B131,"MMMM YYYY"))</f>
        <v/>
      </c>
    </row>
    <row r="132" ht="18" customHeight="1">
      <c r="A132" s="2">
        <f>IF(B132&lt;&gt;"",ROW()-2,"")</f>
        <v/>
      </c>
      <c r="P132" s="2">
        <f>IF(OR(O132="",B132=""),"—",IFERROR(INT(B132)-INT(O132),"—"))</f>
        <v/>
      </c>
      <c r="Q132" s="24">
        <f>IF(B132="","",TEXT(B132,"MMMM YYYY"))</f>
        <v/>
      </c>
    </row>
    <row r="133" ht="18" customHeight="1">
      <c r="A133" s="2">
        <f>IF(B133&lt;&gt;"",ROW()-2,"")</f>
        <v/>
      </c>
      <c r="P133" s="2">
        <f>IF(OR(O133="",B133=""),"—",IFERROR(INT(B133)-INT(O133),"—"))</f>
        <v/>
      </c>
      <c r="Q133" s="24">
        <f>IF(B133="","",TEXT(B133,"MMMM YYYY"))</f>
        <v/>
      </c>
    </row>
    <row r="134" ht="18" customHeight="1">
      <c r="A134" s="2">
        <f>IF(B134&lt;&gt;"",ROW()-2,"")</f>
        <v/>
      </c>
      <c r="P134" s="2">
        <f>IF(OR(O134="",B134=""),"—",IFERROR(INT(B134)-INT(O134),"—"))</f>
        <v/>
      </c>
      <c r="Q134" s="24">
        <f>IF(B134="","",TEXT(B134,"MMMM YYYY"))</f>
        <v/>
      </c>
    </row>
    <row r="135" ht="18" customHeight="1">
      <c r="A135" s="2">
        <f>IF(B135&lt;&gt;"",ROW()-2,"")</f>
        <v/>
      </c>
      <c r="P135" s="2">
        <f>IF(OR(O135="",B135=""),"—",IFERROR(INT(B135)-INT(O135),"—"))</f>
        <v/>
      </c>
      <c r="Q135" s="24">
        <f>IF(B135="","",TEXT(B135,"MMMM YYYY"))</f>
        <v/>
      </c>
    </row>
    <row r="136" ht="18" customHeight="1">
      <c r="A136" s="2">
        <f>IF(B136&lt;&gt;"",ROW()-2,"")</f>
        <v/>
      </c>
      <c r="P136" s="2">
        <f>IF(OR(O136="",B136=""),"—",IFERROR(INT(B136)-INT(O136),"—"))</f>
        <v/>
      </c>
      <c r="Q136" s="24">
        <f>IF(B136="","",TEXT(B136,"MMMM YYYY"))</f>
        <v/>
      </c>
    </row>
    <row r="137" ht="18" customHeight="1">
      <c r="A137" s="2">
        <f>IF(B137&lt;&gt;"",ROW()-2,"")</f>
        <v/>
      </c>
      <c r="P137" s="2">
        <f>IF(OR(O137="",B137=""),"—",IFERROR(INT(B137)-INT(O137),"—"))</f>
        <v/>
      </c>
      <c r="Q137" s="24">
        <f>IF(B137="","",TEXT(B137,"MMMM YYYY"))</f>
        <v/>
      </c>
    </row>
    <row r="138" ht="18" customHeight="1">
      <c r="A138" s="2">
        <f>IF(B138&lt;&gt;"",ROW()-2,"")</f>
        <v/>
      </c>
      <c r="P138" s="2">
        <f>IF(OR(O138="",B138=""),"—",IFERROR(INT(B138)-INT(O138),"—"))</f>
        <v/>
      </c>
      <c r="Q138" s="24">
        <f>IF(B138="","",TEXT(B138,"MMMM YYYY"))</f>
        <v/>
      </c>
    </row>
    <row r="139" ht="18" customHeight="1">
      <c r="A139" s="2">
        <f>IF(B139&lt;&gt;"",ROW()-2,"")</f>
        <v/>
      </c>
      <c r="P139" s="2">
        <f>IF(OR(O139="",B139=""),"—",IFERROR(INT(B139)-INT(O139),"—"))</f>
        <v/>
      </c>
      <c r="Q139" s="24">
        <f>IF(B139="","",TEXT(B139,"MMMM YYYY"))</f>
        <v/>
      </c>
    </row>
    <row r="140" ht="18" customHeight="1">
      <c r="A140" s="2">
        <f>IF(B140&lt;&gt;"",ROW()-2,"")</f>
        <v/>
      </c>
      <c r="P140" s="2">
        <f>IF(OR(O140="",B140=""),"—",IFERROR(INT(B140)-INT(O140),"—"))</f>
        <v/>
      </c>
      <c r="Q140" s="24">
        <f>IF(B140="","",TEXT(B140,"MMMM YYYY"))</f>
        <v/>
      </c>
    </row>
    <row r="141" ht="18" customHeight="1">
      <c r="A141" s="2">
        <f>IF(B141&lt;&gt;"",ROW()-2,"")</f>
        <v/>
      </c>
      <c r="P141" s="2">
        <f>IF(OR(O141="",B141=""),"—",IFERROR(INT(B141)-INT(O141),"—"))</f>
        <v/>
      </c>
      <c r="Q141" s="24">
        <f>IF(B141="","",TEXT(B141,"MMMM YYYY"))</f>
        <v/>
      </c>
    </row>
    <row r="142" ht="18" customHeight="1">
      <c r="A142" s="2">
        <f>IF(B142&lt;&gt;"",ROW()-2,"")</f>
        <v/>
      </c>
      <c r="P142" s="2">
        <f>IF(OR(O142="",B142=""),"—",IFERROR(INT(B142)-INT(O142),"—"))</f>
        <v/>
      </c>
      <c r="Q142" s="24">
        <f>IF(B142="","",TEXT(B142,"MMMM YYYY"))</f>
        <v/>
      </c>
    </row>
    <row r="143" ht="18" customHeight="1">
      <c r="A143" s="2">
        <f>IF(B143&lt;&gt;"",ROW()-2,"")</f>
        <v/>
      </c>
      <c r="P143" s="2">
        <f>IF(OR(O143="",B143=""),"—",IFERROR(INT(B143)-INT(O143),"—"))</f>
        <v/>
      </c>
      <c r="Q143" s="24">
        <f>IF(B143="","",TEXT(B143,"MMMM YYYY"))</f>
        <v/>
      </c>
    </row>
    <row r="144" ht="18" customHeight="1">
      <c r="A144" s="2">
        <f>IF(B144&lt;&gt;"",ROW()-2,"")</f>
        <v/>
      </c>
      <c r="P144" s="2">
        <f>IF(OR(O144="",B144=""),"—",IFERROR(INT(B144)-INT(O144),"—"))</f>
        <v/>
      </c>
      <c r="Q144" s="24">
        <f>IF(B144="","",TEXT(B144,"MMMM YYYY"))</f>
        <v/>
      </c>
    </row>
    <row r="145" ht="18" customHeight="1">
      <c r="A145" s="2">
        <f>IF(B145&lt;&gt;"",ROW()-2,"")</f>
        <v/>
      </c>
      <c r="P145" s="2">
        <f>IF(OR(O145="",B145=""),"—",IFERROR(INT(B145)-INT(O145),"—"))</f>
        <v/>
      </c>
      <c r="Q145" s="24">
        <f>IF(B145="","",TEXT(B145,"MMMM YYYY"))</f>
        <v/>
      </c>
    </row>
    <row r="146" ht="18" customHeight="1">
      <c r="A146" s="2">
        <f>IF(B146&lt;&gt;"",ROW()-2,"")</f>
        <v/>
      </c>
      <c r="P146" s="2">
        <f>IF(OR(O146="",B146=""),"—",IFERROR(INT(B146)-INT(O146),"—"))</f>
        <v/>
      </c>
      <c r="Q146" s="24">
        <f>IF(B146="","",TEXT(B146,"MMMM YYYY"))</f>
        <v/>
      </c>
    </row>
    <row r="147" ht="18" customHeight="1">
      <c r="A147" s="2">
        <f>IF(B147&lt;&gt;"",ROW()-2,"")</f>
        <v/>
      </c>
      <c r="P147" s="2">
        <f>IF(OR(O147="",B147=""),"—",IFERROR(INT(B147)-INT(O147),"—"))</f>
        <v/>
      </c>
      <c r="Q147" s="24">
        <f>IF(B147="","",TEXT(B147,"MMMM YYYY"))</f>
        <v/>
      </c>
    </row>
    <row r="148" ht="18" customHeight="1">
      <c r="A148" s="2">
        <f>IF(B148&lt;&gt;"",ROW()-2,"")</f>
        <v/>
      </c>
      <c r="P148" s="2">
        <f>IF(OR(O148="",B148=""),"—",IFERROR(INT(B148)-INT(O148),"—"))</f>
        <v/>
      </c>
      <c r="Q148" s="24">
        <f>IF(B148="","",TEXT(B148,"MMMM YYYY"))</f>
        <v/>
      </c>
    </row>
    <row r="149" ht="18" customHeight="1">
      <c r="A149" s="2">
        <f>IF(B149&lt;&gt;"",ROW()-2,"")</f>
        <v/>
      </c>
      <c r="P149" s="2">
        <f>IF(OR(O149="",B149=""),"—",IFERROR(INT(B149)-INT(O149),"—"))</f>
        <v/>
      </c>
      <c r="Q149" s="24">
        <f>IF(B149="","",TEXT(B149,"MMMM YYYY"))</f>
        <v/>
      </c>
    </row>
    <row r="150" ht="18" customHeight="1">
      <c r="A150" s="2">
        <f>IF(B150&lt;&gt;"",ROW()-2,"")</f>
        <v/>
      </c>
      <c r="P150" s="2">
        <f>IF(OR(O150="",B150=""),"—",IFERROR(INT(B150)-INT(O150),"—"))</f>
        <v/>
      </c>
      <c r="Q150" s="24">
        <f>IF(B150="","",TEXT(B150,"MMMM YYYY"))</f>
        <v/>
      </c>
    </row>
    <row r="151" ht="18" customHeight="1">
      <c r="A151" s="2">
        <f>IF(B151&lt;&gt;"",ROW()-2,"")</f>
        <v/>
      </c>
      <c r="P151" s="2">
        <f>IF(OR(O151="",B151=""),"—",IFERROR(INT(B151)-INT(O151),"—"))</f>
        <v/>
      </c>
      <c r="Q151" s="24">
        <f>IF(B151="","",TEXT(B151,"MMMM YYYY"))</f>
        <v/>
      </c>
    </row>
    <row r="152" ht="18" customHeight="1">
      <c r="A152" s="2">
        <f>IF(B152&lt;&gt;"",ROW()-2,"")</f>
        <v/>
      </c>
      <c r="P152" s="2">
        <f>IF(OR(O152="",B152=""),"—",IFERROR(INT(B152)-INT(O152),"—"))</f>
        <v/>
      </c>
      <c r="Q152" s="24">
        <f>IF(B152="","",TEXT(B152,"MMMM YYYY"))</f>
        <v/>
      </c>
    </row>
    <row r="153" ht="18" customHeight="1">
      <c r="A153" s="2">
        <f>IF(B153&lt;&gt;"",ROW()-2,"")</f>
        <v/>
      </c>
      <c r="P153" s="2">
        <f>IF(OR(O153="",B153=""),"—",IFERROR(INT(B153)-INT(O153),"—"))</f>
        <v/>
      </c>
      <c r="Q153" s="24">
        <f>IF(B153="","",TEXT(B153,"MMMM YYYY"))</f>
        <v/>
      </c>
    </row>
    <row r="154" ht="18" customHeight="1">
      <c r="A154" s="2">
        <f>IF(B154&lt;&gt;"",ROW()-2,"")</f>
        <v/>
      </c>
      <c r="P154" s="2">
        <f>IF(OR(O154="",B154=""),"—",IFERROR(INT(B154)-INT(O154),"—"))</f>
        <v/>
      </c>
      <c r="Q154" s="24">
        <f>IF(B154="","",TEXT(B154,"MMMM YYYY"))</f>
        <v/>
      </c>
    </row>
    <row r="155" ht="18" customHeight="1">
      <c r="A155" s="2">
        <f>IF(B155&lt;&gt;"",ROW()-2,"")</f>
        <v/>
      </c>
      <c r="P155" s="2">
        <f>IF(OR(O155="",B155=""),"—",IFERROR(INT(B155)-INT(O155),"—"))</f>
        <v/>
      </c>
      <c r="Q155" s="24">
        <f>IF(B155="","",TEXT(B155,"MMMM YYYY"))</f>
        <v/>
      </c>
    </row>
    <row r="156" ht="18" customHeight="1">
      <c r="A156" s="2">
        <f>IF(B156&lt;&gt;"",ROW()-2,"")</f>
        <v/>
      </c>
      <c r="P156" s="2">
        <f>IF(OR(O156="",B156=""),"—",IFERROR(INT(B156)-INT(O156),"—"))</f>
        <v/>
      </c>
      <c r="Q156" s="24">
        <f>IF(B156="","",TEXT(B156,"MMMM YYYY"))</f>
        <v/>
      </c>
    </row>
    <row r="157" ht="18" customHeight="1">
      <c r="A157" s="2">
        <f>IF(B157&lt;&gt;"",ROW()-2,"")</f>
        <v/>
      </c>
      <c r="P157" s="2">
        <f>IF(OR(O157="",B157=""),"—",IFERROR(INT(B157)-INT(O157),"—"))</f>
        <v/>
      </c>
      <c r="Q157" s="24">
        <f>IF(B157="","",TEXT(B157,"MMMM YYYY"))</f>
        <v/>
      </c>
    </row>
    <row r="158" ht="18" customHeight="1">
      <c r="A158" s="2">
        <f>IF(B158&lt;&gt;"",ROW()-2,"")</f>
        <v/>
      </c>
      <c r="P158" s="2">
        <f>IF(OR(O158="",B158=""),"—",IFERROR(INT(B158)-INT(O158),"—"))</f>
        <v/>
      </c>
      <c r="Q158" s="24">
        <f>IF(B158="","",TEXT(B158,"MMMM YYYY"))</f>
        <v/>
      </c>
    </row>
    <row r="159" ht="18" customHeight="1">
      <c r="A159" s="2">
        <f>IF(B159&lt;&gt;"",ROW()-2,"")</f>
        <v/>
      </c>
      <c r="P159" s="2">
        <f>IF(OR(O159="",B159=""),"—",IFERROR(INT(B159)-INT(O159),"—"))</f>
        <v/>
      </c>
      <c r="Q159" s="24">
        <f>IF(B159="","",TEXT(B159,"MMMM YYYY"))</f>
        <v/>
      </c>
    </row>
    <row r="160" ht="18" customHeight="1">
      <c r="A160" s="2">
        <f>IF(B160&lt;&gt;"",ROW()-2,"")</f>
        <v/>
      </c>
      <c r="P160" s="2">
        <f>IF(OR(O160="",B160=""),"—",IFERROR(INT(B160)-INT(O160),"—"))</f>
        <v/>
      </c>
      <c r="Q160" s="24">
        <f>IF(B160="","",TEXT(B160,"MMMM YYYY"))</f>
        <v/>
      </c>
    </row>
    <row r="161" ht="18" customHeight="1">
      <c r="A161" s="2">
        <f>IF(B161&lt;&gt;"",ROW()-2,"")</f>
        <v/>
      </c>
      <c r="P161" s="2">
        <f>IF(OR(O161="",B161=""),"—",IFERROR(INT(B161)-INT(O161),"—"))</f>
        <v/>
      </c>
      <c r="Q161" s="24">
        <f>IF(B161="","",TEXT(B161,"MMMM YYYY"))</f>
        <v/>
      </c>
    </row>
    <row r="162" ht="18" customHeight="1">
      <c r="A162" s="2">
        <f>IF(B162&lt;&gt;"",ROW()-2,"")</f>
        <v/>
      </c>
      <c r="P162" s="2">
        <f>IF(OR(O162="",B162=""),"—",IFERROR(INT(B162)-INT(O162),"—"))</f>
        <v/>
      </c>
      <c r="Q162" s="24">
        <f>IF(B162="","",TEXT(B162,"MMMM YYYY"))</f>
        <v/>
      </c>
    </row>
    <row r="163" ht="18" customHeight="1">
      <c r="A163" s="2">
        <f>IF(B163&lt;&gt;"",ROW()-2,"")</f>
        <v/>
      </c>
      <c r="P163" s="2">
        <f>IF(OR(O163="",B163=""),"—",IFERROR(INT(B163)-INT(O163),"—"))</f>
        <v/>
      </c>
      <c r="Q163" s="24">
        <f>IF(B163="","",TEXT(B163,"MMMM YYYY"))</f>
        <v/>
      </c>
    </row>
    <row r="164" ht="18" customHeight="1">
      <c r="A164" s="2">
        <f>IF(B164&lt;&gt;"",ROW()-2,"")</f>
        <v/>
      </c>
      <c r="P164" s="2">
        <f>IF(OR(O164="",B164=""),"—",IFERROR(INT(B164)-INT(O164),"—"))</f>
        <v/>
      </c>
      <c r="Q164" s="24">
        <f>IF(B164="","",TEXT(B164,"MMMM YYYY"))</f>
        <v/>
      </c>
    </row>
    <row r="165" ht="18" customHeight="1">
      <c r="A165" s="2">
        <f>IF(B165&lt;&gt;"",ROW()-2,"")</f>
        <v/>
      </c>
      <c r="P165" s="2">
        <f>IF(OR(O165="",B165=""),"—",IFERROR(INT(B165)-INT(O165),"—"))</f>
        <v/>
      </c>
      <c r="Q165" s="24">
        <f>IF(B165="","",TEXT(B165,"MMMM YYYY"))</f>
        <v/>
      </c>
    </row>
    <row r="166" ht="18" customHeight="1">
      <c r="A166" s="2">
        <f>IF(B166&lt;&gt;"",ROW()-2,"")</f>
        <v/>
      </c>
      <c r="P166" s="2">
        <f>IF(OR(O166="",B166=""),"—",IFERROR(INT(B166)-INT(O166),"—"))</f>
        <v/>
      </c>
      <c r="Q166" s="24">
        <f>IF(B166="","",TEXT(B166,"MMMM YYYY"))</f>
        <v/>
      </c>
    </row>
    <row r="167" ht="18" customHeight="1">
      <c r="A167" s="2">
        <f>IF(B167&lt;&gt;"",ROW()-2,"")</f>
        <v/>
      </c>
      <c r="P167" s="2">
        <f>IF(OR(O167="",B167=""),"—",IFERROR(INT(B167)-INT(O167),"—"))</f>
        <v/>
      </c>
      <c r="Q167" s="24">
        <f>IF(B167="","",TEXT(B167,"MMMM YYYY"))</f>
        <v/>
      </c>
    </row>
    <row r="168" ht="18" customHeight="1">
      <c r="A168" s="2">
        <f>IF(B168&lt;&gt;"",ROW()-2,"")</f>
        <v/>
      </c>
      <c r="P168" s="2">
        <f>IF(OR(O168="",B168=""),"—",IFERROR(INT(B168)-INT(O168),"—"))</f>
        <v/>
      </c>
      <c r="Q168" s="24">
        <f>IF(B168="","",TEXT(B168,"MMMM YYYY"))</f>
        <v/>
      </c>
    </row>
    <row r="169" ht="18" customHeight="1">
      <c r="A169" s="2">
        <f>IF(B169&lt;&gt;"",ROW()-2,"")</f>
        <v/>
      </c>
      <c r="P169" s="2">
        <f>IF(OR(O169="",B169=""),"—",IFERROR(INT(B169)-INT(O169),"—"))</f>
        <v/>
      </c>
      <c r="Q169" s="24">
        <f>IF(B169="","",TEXT(B169,"MMMM YYYY"))</f>
        <v/>
      </c>
    </row>
    <row r="170" ht="18" customHeight="1">
      <c r="A170" s="2">
        <f>IF(B170&lt;&gt;"",ROW()-2,"")</f>
        <v/>
      </c>
      <c r="P170" s="2">
        <f>IF(OR(O170="",B170=""),"—",IFERROR(INT(B170)-INT(O170),"—"))</f>
        <v/>
      </c>
      <c r="Q170" s="24">
        <f>IF(B170="","",TEXT(B170,"MMMM YYYY"))</f>
        <v/>
      </c>
    </row>
    <row r="171" ht="18" customHeight="1">
      <c r="A171" s="2">
        <f>IF(B171&lt;&gt;"",ROW()-2,"")</f>
        <v/>
      </c>
      <c r="P171" s="2">
        <f>IF(OR(O171="",B171=""),"—",IFERROR(INT(B171)-INT(O171),"—"))</f>
        <v/>
      </c>
      <c r="Q171" s="24">
        <f>IF(B171="","",TEXT(B171,"MMMM YYYY"))</f>
        <v/>
      </c>
    </row>
    <row r="172" ht="18" customHeight="1">
      <c r="A172" s="2">
        <f>IF(B172&lt;&gt;"",ROW()-2,"")</f>
        <v/>
      </c>
      <c r="P172" s="2">
        <f>IF(OR(O172="",B172=""),"—",IFERROR(INT(B172)-INT(O172),"—"))</f>
        <v/>
      </c>
      <c r="Q172" s="24">
        <f>IF(B172="","",TEXT(B172,"MMMM YYYY"))</f>
        <v/>
      </c>
    </row>
    <row r="173" ht="18" customHeight="1">
      <c r="A173" s="2">
        <f>IF(B173&lt;&gt;"",ROW()-2,"")</f>
        <v/>
      </c>
      <c r="P173" s="2">
        <f>IF(OR(O173="",B173=""),"—",IFERROR(INT(B173)-INT(O173),"—"))</f>
        <v/>
      </c>
      <c r="Q173" s="24">
        <f>IF(B173="","",TEXT(B173,"MMMM YYYY"))</f>
        <v/>
      </c>
    </row>
    <row r="174" ht="18" customHeight="1">
      <c r="A174" s="2">
        <f>IF(B174&lt;&gt;"",ROW()-2,"")</f>
        <v/>
      </c>
      <c r="P174" s="2">
        <f>IF(OR(O174="",B174=""),"—",IFERROR(INT(B174)-INT(O174),"—"))</f>
        <v/>
      </c>
      <c r="Q174" s="24">
        <f>IF(B174="","",TEXT(B174,"MMMM YYYY"))</f>
        <v/>
      </c>
    </row>
    <row r="175" ht="18" customHeight="1">
      <c r="A175" s="2">
        <f>IF(B175&lt;&gt;"",ROW()-2,"")</f>
        <v/>
      </c>
      <c r="P175" s="2">
        <f>IF(OR(O175="",B175=""),"—",IFERROR(INT(B175)-INT(O175),"—"))</f>
        <v/>
      </c>
      <c r="Q175" s="24">
        <f>IF(B175="","",TEXT(B175,"MMMM YYYY"))</f>
        <v/>
      </c>
    </row>
    <row r="176" ht="18" customHeight="1">
      <c r="A176" s="2">
        <f>IF(B176&lt;&gt;"",ROW()-2,"")</f>
        <v/>
      </c>
      <c r="P176" s="2">
        <f>IF(OR(O176="",B176=""),"—",IFERROR(INT(B176)-INT(O176),"—"))</f>
        <v/>
      </c>
      <c r="Q176" s="24">
        <f>IF(B176="","",TEXT(B176,"MMMM YYYY"))</f>
        <v/>
      </c>
    </row>
    <row r="177" ht="18" customHeight="1">
      <c r="A177" s="2">
        <f>IF(B177&lt;&gt;"",ROW()-2,"")</f>
        <v/>
      </c>
      <c r="P177" s="2">
        <f>IF(OR(O177="",B177=""),"—",IFERROR(INT(B177)-INT(O177),"—"))</f>
        <v/>
      </c>
      <c r="Q177" s="24">
        <f>IF(B177="","",TEXT(B177,"MMMM YYYY"))</f>
        <v/>
      </c>
    </row>
    <row r="178" ht="18" customHeight="1">
      <c r="A178" s="2">
        <f>IF(B178&lt;&gt;"",ROW()-2,"")</f>
        <v/>
      </c>
      <c r="P178" s="2">
        <f>IF(OR(O178="",B178=""),"—",IFERROR(INT(B178)-INT(O178),"—"))</f>
        <v/>
      </c>
      <c r="Q178" s="24">
        <f>IF(B178="","",TEXT(B178,"MMMM YYYY"))</f>
        <v/>
      </c>
    </row>
    <row r="179" ht="18" customHeight="1">
      <c r="A179" s="2">
        <f>IF(B179&lt;&gt;"",ROW()-2,"")</f>
        <v/>
      </c>
      <c r="P179" s="2">
        <f>IF(OR(O179="",B179=""),"—",IFERROR(INT(B179)-INT(O179),"—"))</f>
        <v/>
      </c>
      <c r="Q179" s="24">
        <f>IF(B179="","",TEXT(B179,"MMMM YYYY"))</f>
        <v/>
      </c>
    </row>
    <row r="180" ht="18" customHeight="1">
      <c r="A180" s="2">
        <f>IF(B180&lt;&gt;"",ROW()-2,"")</f>
        <v/>
      </c>
      <c r="P180" s="2">
        <f>IF(OR(O180="",B180=""),"—",IFERROR(INT(B180)-INT(O180),"—"))</f>
        <v/>
      </c>
      <c r="Q180" s="24">
        <f>IF(B180="","",TEXT(B180,"MMMM YYYY"))</f>
        <v/>
      </c>
    </row>
    <row r="181" ht="18" customHeight="1">
      <c r="A181" s="2">
        <f>IF(B181&lt;&gt;"",ROW()-2,"")</f>
        <v/>
      </c>
      <c r="P181" s="2">
        <f>IF(OR(O181="",B181=""),"—",IFERROR(INT(B181)-INT(O181),"—"))</f>
        <v/>
      </c>
      <c r="Q181" s="24">
        <f>IF(B181="","",TEXT(B181,"MMMM YYYY"))</f>
        <v/>
      </c>
    </row>
    <row r="182" ht="18" customHeight="1">
      <c r="A182" s="2">
        <f>IF(B182&lt;&gt;"",ROW()-2,"")</f>
        <v/>
      </c>
      <c r="P182" s="2">
        <f>IF(OR(O182="",B182=""),"—",IFERROR(INT(B182)-INT(O182),"—"))</f>
        <v/>
      </c>
      <c r="Q182" s="24">
        <f>IF(B182="","",TEXT(B182,"MMMM YYYY"))</f>
        <v/>
      </c>
    </row>
    <row r="183" ht="18" customHeight="1">
      <c r="A183" s="2">
        <f>IF(B183&lt;&gt;"",ROW()-2,"")</f>
        <v/>
      </c>
      <c r="P183" s="2">
        <f>IF(OR(O183="",B183=""),"—",IFERROR(INT(B183)-INT(O183),"—"))</f>
        <v/>
      </c>
      <c r="Q183" s="24">
        <f>IF(B183="","",TEXT(B183,"MMMM YYYY"))</f>
        <v/>
      </c>
    </row>
    <row r="184" ht="18" customHeight="1">
      <c r="A184" s="2">
        <f>IF(B184&lt;&gt;"",ROW()-2,"")</f>
        <v/>
      </c>
      <c r="P184" s="2">
        <f>IF(OR(O184="",B184=""),"—",IFERROR(INT(B184)-INT(O184),"—"))</f>
        <v/>
      </c>
      <c r="Q184" s="24">
        <f>IF(B184="","",TEXT(B184,"MMMM YYYY"))</f>
        <v/>
      </c>
    </row>
    <row r="185" ht="18" customHeight="1">
      <c r="A185" s="2">
        <f>IF(B185&lt;&gt;"",ROW()-2,"")</f>
        <v/>
      </c>
      <c r="P185" s="2">
        <f>IF(OR(O185="",B185=""),"—",IFERROR(INT(B185)-INT(O185),"—"))</f>
        <v/>
      </c>
      <c r="Q185" s="24">
        <f>IF(B185="","",TEXT(B185,"MMMM YYYY"))</f>
        <v/>
      </c>
    </row>
    <row r="186" ht="18" customHeight="1">
      <c r="A186" s="2">
        <f>IF(B186&lt;&gt;"",ROW()-2,"")</f>
        <v/>
      </c>
      <c r="P186" s="2">
        <f>IF(OR(O186="",B186=""),"—",IFERROR(INT(B186)-INT(O186),"—"))</f>
        <v/>
      </c>
      <c r="Q186" s="24">
        <f>IF(B186="","",TEXT(B186,"MMMM YYYY"))</f>
        <v/>
      </c>
    </row>
    <row r="187" ht="18" customHeight="1">
      <c r="A187" s="2">
        <f>IF(B187&lt;&gt;"",ROW()-2,"")</f>
        <v/>
      </c>
      <c r="P187" s="2">
        <f>IF(OR(O187="",B187=""),"—",IFERROR(INT(B187)-INT(O187),"—"))</f>
        <v/>
      </c>
      <c r="Q187" s="24">
        <f>IF(B187="","",TEXT(B187,"MMMM YYYY"))</f>
        <v/>
      </c>
    </row>
    <row r="188" ht="18" customHeight="1">
      <c r="A188" s="2">
        <f>IF(B188&lt;&gt;"",ROW()-2,"")</f>
        <v/>
      </c>
      <c r="P188" s="2">
        <f>IF(OR(O188="",B188=""),"—",IFERROR(INT(B188)-INT(O188),"—"))</f>
        <v/>
      </c>
      <c r="Q188" s="24">
        <f>IF(B188="","",TEXT(B188,"MMMM YYYY"))</f>
        <v/>
      </c>
    </row>
    <row r="189" ht="18" customHeight="1">
      <c r="A189" s="2">
        <f>IF(B189&lt;&gt;"",ROW()-2,"")</f>
        <v/>
      </c>
      <c r="P189" s="2">
        <f>IF(OR(O189="",B189=""),"—",IFERROR(INT(B189)-INT(O189),"—"))</f>
        <v/>
      </c>
      <c r="Q189" s="24">
        <f>IF(B189="","",TEXT(B189,"MMMM YYYY"))</f>
        <v/>
      </c>
    </row>
    <row r="190" ht="18" customHeight="1">
      <c r="A190" s="2">
        <f>IF(B190&lt;&gt;"",ROW()-2,"")</f>
        <v/>
      </c>
      <c r="P190" s="2">
        <f>IF(OR(O190="",B190=""),"—",IFERROR(INT(B190)-INT(O190),"—"))</f>
        <v/>
      </c>
      <c r="Q190" s="24">
        <f>IF(B190="","",TEXT(B190,"MMMM YYYY"))</f>
        <v/>
      </c>
    </row>
    <row r="191" ht="18" customHeight="1">
      <c r="A191" s="2">
        <f>IF(B191&lt;&gt;"",ROW()-2,"")</f>
        <v/>
      </c>
      <c r="P191" s="2">
        <f>IF(OR(O191="",B191=""),"—",IFERROR(INT(B191)-INT(O191),"—"))</f>
        <v/>
      </c>
      <c r="Q191" s="24">
        <f>IF(B191="","",TEXT(B191,"MMMM YYYY"))</f>
        <v/>
      </c>
    </row>
    <row r="192" ht="18" customHeight="1">
      <c r="A192" s="2">
        <f>IF(B192&lt;&gt;"",ROW()-2,"")</f>
        <v/>
      </c>
      <c r="P192" s="2">
        <f>IF(OR(O192="",B192=""),"—",IFERROR(INT(B192)-INT(O192),"—"))</f>
        <v/>
      </c>
      <c r="Q192" s="24">
        <f>IF(B192="","",TEXT(B192,"MMMM YYYY"))</f>
        <v/>
      </c>
    </row>
    <row r="193" ht="18" customHeight="1">
      <c r="A193" s="2">
        <f>IF(B193&lt;&gt;"",ROW()-2,"")</f>
        <v/>
      </c>
      <c r="P193" s="2">
        <f>IF(OR(O193="",B193=""),"—",IFERROR(INT(B193)-INT(O193),"—"))</f>
        <v/>
      </c>
      <c r="Q193" s="24">
        <f>IF(B193="","",TEXT(B193,"MMMM YYYY"))</f>
        <v/>
      </c>
    </row>
    <row r="194" ht="18" customHeight="1">
      <c r="A194" s="2">
        <f>IF(B194&lt;&gt;"",ROW()-2,"")</f>
        <v/>
      </c>
      <c r="P194" s="2">
        <f>IF(OR(O194="",B194=""),"—",IFERROR(INT(B194)-INT(O194),"—"))</f>
        <v/>
      </c>
      <c r="Q194" s="24">
        <f>IF(B194="","",TEXT(B194,"MMMM YYYY"))</f>
        <v/>
      </c>
    </row>
    <row r="195" ht="18" customHeight="1">
      <c r="A195" s="2">
        <f>IF(B195&lt;&gt;"",ROW()-2,"")</f>
        <v/>
      </c>
      <c r="P195" s="2">
        <f>IF(OR(O195="",B195=""),"—",IFERROR(INT(B195)-INT(O195),"—"))</f>
        <v/>
      </c>
      <c r="Q195" s="24">
        <f>IF(B195="","",TEXT(B195,"MMMM YYYY"))</f>
        <v/>
      </c>
    </row>
    <row r="196" ht="18" customHeight="1">
      <c r="A196" s="2">
        <f>IF(B196&lt;&gt;"",ROW()-2,"")</f>
        <v/>
      </c>
      <c r="P196" s="2">
        <f>IF(OR(O196="",B196=""),"—",IFERROR(INT(B196)-INT(O196),"—"))</f>
        <v/>
      </c>
      <c r="Q196" s="24">
        <f>IF(B196="","",TEXT(B196,"MMMM YYYY"))</f>
        <v/>
      </c>
    </row>
    <row r="197" ht="18" customHeight="1">
      <c r="A197" s="2">
        <f>IF(B197&lt;&gt;"",ROW()-2,"")</f>
        <v/>
      </c>
      <c r="P197" s="2">
        <f>IF(OR(O197="",B197=""),"—",IFERROR(INT(B197)-INT(O197),"—"))</f>
        <v/>
      </c>
      <c r="Q197" s="24">
        <f>IF(B197="","",TEXT(B197,"MMMM YYYY"))</f>
        <v/>
      </c>
    </row>
    <row r="198" ht="18" customHeight="1">
      <c r="A198" s="2">
        <f>IF(B198&lt;&gt;"",ROW()-2,"")</f>
        <v/>
      </c>
      <c r="P198" s="2">
        <f>IF(OR(O198="",B198=""),"—",IFERROR(INT(B198)-INT(O198),"—"))</f>
        <v/>
      </c>
      <c r="Q198" s="24">
        <f>IF(B198="","",TEXT(B198,"MMMM YYYY"))</f>
        <v/>
      </c>
    </row>
    <row r="199" ht="18" customHeight="1">
      <c r="A199" s="2">
        <f>IF(B199&lt;&gt;"",ROW()-2,"")</f>
        <v/>
      </c>
      <c r="P199" s="2">
        <f>IF(OR(O199="",B199=""),"—",IFERROR(INT(B199)-INT(O199),"—"))</f>
        <v/>
      </c>
      <c r="Q199" s="24">
        <f>IF(B199="","",TEXT(B199,"MMMM YYYY"))</f>
        <v/>
      </c>
    </row>
    <row r="200" ht="18" customHeight="1">
      <c r="A200" s="2">
        <f>IF(B200&lt;&gt;"",ROW()-2,"")</f>
        <v/>
      </c>
      <c r="P200" s="2">
        <f>IF(OR(O200="",B200=""),"—",IFERROR(INT(B200)-INT(O200),"—"))</f>
        <v/>
      </c>
      <c r="Q200" s="24">
        <f>IF(B200="","",TEXT(B200,"MMMM YYYY"))</f>
        <v/>
      </c>
    </row>
    <row r="201" ht="18" customHeight="1">
      <c r="A201" s="2">
        <f>IF(B201&lt;&gt;"",ROW()-2,"")</f>
        <v/>
      </c>
      <c r="P201" s="2">
        <f>IF(OR(O201="",B201=""),"—",IFERROR(INT(B201)-INT(O201),"—"))</f>
        <v/>
      </c>
      <c r="Q201" s="24">
        <f>IF(B201="","",TEXT(B201,"MMMM YYYY"))</f>
        <v/>
      </c>
    </row>
    <row r="202" ht="18" customHeight="1">
      <c r="A202" s="2">
        <f>IF(B202&lt;&gt;"",ROW()-2,"")</f>
        <v/>
      </c>
      <c r="P202" s="2">
        <f>IF(OR(O202="",B202=""),"—",IFERROR(INT(B202)-INT(O202),"—"))</f>
        <v/>
      </c>
      <c r="Q202" s="24">
        <f>IF(B202="","",TEXT(B202,"MMMM YYYY"))</f>
        <v/>
      </c>
    </row>
    <row r="203" ht="18" customHeight="1">
      <c r="A203" s="2">
        <f>IF(B203&lt;&gt;"",ROW()-2,"")</f>
        <v/>
      </c>
      <c r="P203" s="2">
        <f>IF(OR(O203="",B203=""),"—",IFERROR(INT(B203)-INT(O203),"—"))</f>
        <v/>
      </c>
      <c r="Q203" s="24">
        <f>IF(B203="","",TEXT(B203,"MMMM YYYY"))</f>
        <v/>
      </c>
    </row>
    <row r="204" ht="18" customHeight="1">
      <c r="A204" s="2">
        <f>IF(B204&lt;&gt;"",ROW()-2,"")</f>
        <v/>
      </c>
      <c r="P204" s="2">
        <f>IF(OR(O204="",B204=""),"—",IFERROR(INT(B204)-INT(O204),"—"))</f>
        <v/>
      </c>
      <c r="Q204" s="24">
        <f>IF(B204="","",TEXT(B204,"MMMM YYYY"))</f>
        <v/>
      </c>
    </row>
    <row r="205" ht="18" customHeight="1">
      <c r="A205" s="2">
        <f>IF(B205&lt;&gt;"",ROW()-2,"")</f>
        <v/>
      </c>
      <c r="P205" s="2">
        <f>IF(OR(O205="",B205=""),"—",IFERROR(INT(B205)-INT(O205),"—"))</f>
        <v/>
      </c>
      <c r="Q205" s="24">
        <f>IF(B205="","",TEXT(B205,"MMMM YYYY"))</f>
        <v/>
      </c>
    </row>
    <row r="206" ht="18" customHeight="1">
      <c r="A206" s="2">
        <f>IF(B206&lt;&gt;"",ROW()-2,"")</f>
        <v/>
      </c>
      <c r="P206" s="2">
        <f>IF(OR(O206="",B206=""),"—",IFERROR(INT(B206)-INT(O206),"—"))</f>
        <v/>
      </c>
      <c r="Q206" s="24">
        <f>IF(B206="","",TEXT(B206,"MMMM YYYY"))</f>
        <v/>
      </c>
    </row>
    <row r="207" ht="18" customHeight="1">
      <c r="A207" s="2">
        <f>IF(B207&lt;&gt;"",ROW()-2,"")</f>
        <v/>
      </c>
      <c r="P207" s="2">
        <f>IF(OR(O207="",B207=""),"—",IFERROR(INT(B207)-INT(O207),"—"))</f>
        <v/>
      </c>
      <c r="Q207" s="24">
        <f>IF(B207="","",TEXT(B207,"MMMM YYYY"))</f>
        <v/>
      </c>
    </row>
    <row r="208" ht="18" customHeight="1">
      <c r="A208" s="2">
        <f>IF(B208&lt;&gt;"",ROW()-2,"")</f>
        <v/>
      </c>
      <c r="P208" s="2">
        <f>IF(OR(O208="",B208=""),"—",IFERROR(INT(B208)-INT(O208),"—"))</f>
        <v/>
      </c>
      <c r="Q208" s="24">
        <f>IF(B208="","",TEXT(B208,"MMMM YYYY"))</f>
        <v/>
      </c>
    </row>
    <row r="209" ht="18" customHeight="1">
      <c r="A209" s="2">
        <f>IF(B209&lt;&gt;"",ROW()-2,"")</f>
        <v/>
      </c>
      <c r="P209" s="2">
        <f>IF(OR(O209="",B209=""),"—",IFERROR(INT(B209)-INT(O209),"—"))</f>
        <v/>
      </c>
      <c r="Q209" s="24">
        <f>IF(B209="","",TEXT(B209,"MMMM YYYY"))</f>
        <v/>
      </c>
    </row>
    <row r="210" ht="18" customHeight="1">
      <c r="A210" s="2">
        <f>IF(B210&lt;&gt;"",ROW()-2,"")</f>
        <v/>
      </c>
      <c r="P210" s="2">
        <f>IF(OR(O210="",B210=""),"—",IFERROR(INT(B210)-INT(O210),"—"))</f>
        <v/>
      </c>
      <c r="Q210" s="24">
        <f>IF(B210="","",TEXT(B210,"MMMM YYYY"))</f>
        <v/>
      </c>
    </row>
    <row r="211" ht="18" customHeight="1">
      <c r="A211" s="2">
        <f>IF(B211&lt;&gt;"",ROW()-2,"")</f>
        <v/>
      </c>
      <c r="P211" s="2">
        <f>IF(OR(O211="",B211=""),"—",IFERROR(INT(B211)-INT(O211),"—"))</f>
        <v/>
      </c>
      <c r="Q211" s="24">
        <f>IF(B211="","",TEXT(B211,"MMMM YYYY"))</f>
        <v/>
      </c>
    </row>
    <row r="212" ht="18" customHeight="1">
      <c r="A212" s="2">
        <f>IF(B212&lt;&gt;"",ROW()-2,"")</f>
        <v/>
      </c>
      <c r="P212" s="2">
        <f>IF(OR(O212="",B212=""),"—",IFERROR(INT(B212)-INT(O212),"—"))</f>
        <v/>
      </c>
      <c r="Q212" s="24">
        <f>IF(B212="","",TEXT(B212,"MMMM YYYY"))</f>
        <v/>
      </c>
    </row>
    <row r="213" ht="18" customHeight="1">
      <c r="A213" s="2">
        <f>IF(B213&lt;&gt;"",ROW()-2,"")</f>
        <v/>
      </c>
      <c r="P213" s="2">
        <f>IF(OR(O213="",B213=""),"—",IFERROR(INT(B213)-INT(O213),"—"))</f>
        <v/>
      </c>
      <c r="Q213" s="24">
        <f>IF(B213="","",TEXT(B213,"MMMM YYYY"))</f>
        <v/>
      </c>
    </row>
    <row r="214" ht="18" customHeight="1">
      <c r="A214" s="2">
        <f>IF(B214&lt;&gt;"",ROW()-2,"")</f>
        <v/>
      </c>
      <c r="P214" s="2">
        <f>IF(OR(O214="",B214=""),"—",IFERROR(INT(B214)-INT(O214),"—"))</f>
        <v/>
      </c>
      <c r="Q214" s="24">
        <f>IF(B214="","",TEXT(B214,"MMMM YYYY"))</f>
        <v/>
      </c>
    </row>
    <row r="215" ht="18" customHeight="1">
      <c r="A215" s="2">
        <f>IF(B215&lt;&gt;"",ROW()-2,"")</f>
        <v/>
      </c>
      <c r="P215" s="2">
        <f>IF(OR(O215="",B215=""),"—",IFERROR(INT(B215)-INT(O215),"—"))</f>
        <v/>
      </c>
      <c r="Q215" s="24">
        <f>IF(B215="","",TEXT(B215,"MMMM YYYY"))</f>
        <v/>
      </c>
    </row>
    <row r="216" ht="18" customHeight="1">
      <c r="A216" s="2">
        <f>IF(B216&lt;&gt;"",ROW()-2,"")</f>
        <v/>
      </c>
      <c r="P216" s="2">
        <f>IF(OR(O216="",B216=""),"—",IFERROR(INT(B216)-INT(O216),"—"))</f>
        <v/>
      </c>
      <c r="Q216" s="24">
        <f>IF(B216="","",TEXT(B216,"MMMM YYYY"))</f>
        <v/>
      </c>
    </row>
    <row r="217" ht="18" customHeight="1">
      <c r="A217" s="2">
        <f>IF(B217&lt;&gt;"",ROW()-2,"")</f>
        <v/>
      </c>
      <c r="P217" s="2">
        <f>IF(OR(O217="",B217=""),"—",IFERROR(INT(B217)-INT(O217),"—"))</f>
        <v/>
      </c>
      <c r="Q217" s="24">
        <f>IF(B217="","",TEXT(B217,"MMMM YYYY"))</f>
        <v/>
      </c>
    </row>
    <row r="218" ht="18" customHeight="1">
      <c r="A218" s="2">
        <f>IF(B218&lt;&gt;"",ROW()-2,"")</f>
        <v/>
      </c>
      <c r="P218" s="2">
        <f>IF(OR(O218="",B218=""),"—",IFERROR(INT(B218)-INT(O218),"—"))</f>
        <v/>
      </c>
      <c r="Q218" s="24">
        <f>IF(B218="","",TEXT(B218,"MMMM YYYY"))</f>
        <v/>
      </c>
    </row>
    <row r="219" ht="18" customHeight="1">
      <c r="A219" s="2">
        <f>IF(B219&lt;&gt;"",ROW()-2,"")</f>
        <v/>
      </c>
      <c r="P219" s="2">
        <f>IF(OR(O219="",B219=""),"—",IFERROR(INT(B219)-INT(O219),"—"))</f>
        <v/>
      </c>
      <c r="Q219" s="24">
        <f>IF(B219="","",TEXT(B219,"MMMM YYYY"))</f>
        <v/>
      </c>
    </row>
    <row r="220" ht="18" customHeight="1">
      <c r="A220" s="2">
        <f>IF(B220&lt;&gt;"",ROW()-2,"")</f>
        <v/>
      </c>
      <c r="P220" s="2">
        <f>IF(OR(O220="",B220=""),"—",IFERROR(INT(B220)-INT(O220),"—"))</f>
        <v/>
      </c>
      <c r="Q220" s="24">
        <f>IF(B220="","",TEXT(B220,"MMMM YYYY"))</f>
        <v/>
      </c>
    </row>
    <row r="221" ht="18" customHeight="1">
      <c r="A221" s="2">
        <f>IF(B221&lt;&gt;"",ROW()-2,"")</f>
        <v/>
      </c>
      <c r="P221" s="2">
        <f>IF(OR(O221="",B221=""),"—",IFERROR(INT(B221)-INT(O221),"—"))</f>
        <v/>
      </c>
      <c r="Q221" s="24">
        <f>IF(B221="","",TEXT(B221,"MMMM YYYY"))</f>
        <v/>
      </c>
    </row>
    <row r="222" ht="18" customHeight="1">
      <c r="A222" s="2">
        <f>IF(B222&lt;&gt;"",ROW()-2,"")</f>
        <v/>
      </c>
      <c r="P222" s="2">
        <f>IF(OR(O222="",B222=""),"—",IFERROR(INT(B222)-INT(O222),"—"))</f>
        <v/>
      </c>
      <c r="Q222" s="24">
        <f>IF(B222="","",TEXT(B222,"MMMM YYYY"))</f>
        <v/>
      </c>
    </row>
    <row r="223" ht="18" customHeight="1">
      <c r="A223" s="2">
        <f>IF(B223&lt;&gt;"",ROW()-2,"")</f>
        <v/>
      </c>
      <c r="P223" s="2">
        <f>IF(OR(O223="",B223=""),"—",IFERROR(INT(B223)-INT(O223),"—"))</f>
        <v/>
      </c>
      <c r="Q223" s="24">
        <f>IF(B223="","",TEXT(B223,"MMMM YYYY"))</f>
        <v/>
      </c>
    </row>
    <row r="224" ht="18" customHeight="1">
      <c r="A224" s="2">
        <f>IF(B224&lt;&gt;"",ROW()-2,"")</f>
        <v/>
      </c>
      <c r="P224" s="2">
        <f>IF(OR(O224="",B224=""),"—",IFERROR(INT(B224)-INT(O224),"—"))</f>
        <v/>
      </c>
      <c r="Q224" s="24">
        <f>IF(B224="","",TEXT(B224,"MMMM YYYY"))</f>
        <v/>
      </c>
    </row>
    <row r="225" ht="18" customHeight="1">
      <c r="A225" s="2">
        <f>IF(B225&lt;&gt;"",ROW()-2,"")</f>
        <v/>
      </c>
      <c r="P225" s="2">
        <f>IF(OR(O225="",B225=""),"—",IFERROR(INT(B225)-INT(O225),"—"))</f>
        <v/>
      </c>
      <c r="Q225" s="24">
        <f>IF(B225="","",TEXT(B225,"MMMM YYYY"))</f>
        <v/>
      </c>
    </row>
    <row r="226" ht="18" customHeight="1">
      <c r="A226" s="2">
        <f>IF(B226&lt;&gt;"",ROW()-2,"")</f>
        <v/>
      </c>
      <c r="P226" s="2">
        <f>IF(OR(O226="",B226=""),"—",IFERROR(INT(B226)-INT(O226),"—"))</f>
        <v/>
      </c>
      <c r="Q226" s="24">
        <f>IF(B226="","",TEXT(B226,"MMMM YYYY"))</f>
        <v/>
      </c>
    </row>
    <row r="227" ht="18" customHeight="1">
      <c r="A227" s="2">
        <f>IF(B227&lt;&gt;"",ROW()-2,"")</f>
        <v/>
      </c>
      <c r="P227" s="2">
        <f>IF(OR(O227="",B227=""),"—",IFERROR(INT(B227)-INT(O227),"—"))</f>
        <v/>
      </c>
      <c r="Q227" s="24">
        <f>IF(B227="","",TEXT(B227,"MMMM YYYY"))</f>
        <v/>
      </c>
    </row>
    <row r="228" ht="18" customHeight="1">
      <c r="A228" s="2">
        <f>IF(B228&lt;&gt;"",ROW()-2,"")</f>
        <v/>
      </c>
      <c r="P228" s="2">
        <f>IF(OR(O228="",B228=""),"—",IFERROR(INT(B228)-INT(O228),"—"))</f>
        <v/>
      </c>
      <c r="Q228" s="24">
        <f>IF(B228="","",TEXT(B228,"MMMM YYYY"))</f>
        <v/>
      </c>
    </row>
    <row r="229" ht="18" customHeight="1">
      <c r="A229" s="2">
        <f>IF(B229&lt;&gt;"",ROW()-2,"")</f>
        <v/>
      </c>
      <c r="P229" s="2">
        <f>IF(OR(O229="",B229=""),"—",IFERROR(INT(B229)-INT(O229),"—"))</f>
        <v/>
      </c>
      <c r="Q229" s="24">
        <f>IF(B229="","",TEXT(B229,"MMMM YYYY"))</f>
        <v/>
      </c>
    </row>
    <row r="230" ht="18" customHeight="1">
      <c r="A230" s="2">
        <f>IF(B230&lt;&gt;"",ROW()-2,"")</f>
        <v/>
      </c>
      <c r="P230" s="2">
        <f>IF(OR(O230="",B230=""),"—",IFERROR(INT(B230)-INT(O230),"—"))</f>
        <v/>
      </c>
      <c r="Q230" s="24">
        <f>IF(B230="","",TEXT(B230,"MMMM YYYY"))</f>
        <v/>
      </c>
    </row>
    <row r="231" ht="18" customHeight="1">
      <c r="A231" s="2">
        <f>IF(B231&lt;&gt;"",ROW()-2,"")</f>
        <v/>
      </c>
      <c r="P231" s="2">
        <f>IF(OR(O231="",B231=""),"—",IFERROR(INT(B231)-INT(O231),"—"))</f>
        <v/>
      </c>
      <c r="Q231" s="24">
        <f>IF(B231="","",TEXT(B231,"MMMM YYYY"))</f>
        <v/>
      </c>
    </row>
    <row r="232" ht="18" customHeight="1">
      <c r="A232" s="2">
        <f>IF(B232&lt;&gt;"",ROW()-2,"")</f>
        <v/>
      </c>
      <c r="P232" s="2">
        <f>IF(OR(O232="",B232=""),"—",IFERROR(INT(B232)-INT(O232),"—"))</f>
        <v/>
      </c>
      <c r="Q232" s="24">
        <f>IF(B232="","",TEXT(B232,"MMMM YYYY"))</f>
        <v/>
      </c>
    </row>
    <row r="233" ht="18" customHeight="1">
      <c r="A233" s="2">
        <f>IF(B233&lt;&gt;"",ROW()-2,"")</f>
        <v/>
      </c>
      <c r="P233" s="2">
        <f>IF(OR(O233="",B233=""),"—",IFERROR(INT(B233)-INT(O233),"—"))</f>
        <v/>
      </c>
      <c r="Q233" s="24">
        <f>IF(B233="","",TEXT(B233,"MMMM YYYY"))</f>
        <v/>
      </c>
    </row>
    <row r="234" ht="18" customHeight="1">
      <c r="A234" s="2">
        <f>IF(B234&lt;&gt;"",ROW()-2,"")</f>
        <v/>
      </c>
      <c r="P234" s="2">
        <f>IF(OR(O234="",B234=""),"—",IFERROR(INT(B234)-INT(O234),"—"))</f>
        <v/>
      </c>
      <c r="Q234" s="24">
        <f>IF(B234="","",TEXT(B234,"MMMM YYYY"))</f>
        <v/>
      </c>
    </row>
    <row r="235" ht="18" customHeight="1">
      <c r="A235" s="2">
        <f>IF(B235&lt;&gt;"",ROW()-2,"")</f>
        <v/>
      </c>
      <c r="P235" s="2">
        <f>IF(OR(O235="",B235=""),"—",IFERROR(INT(B235)-INT(O235),"—"))</f>
        <v/>
      </c>
      <c r="Q235" s="24">
        <f>IF(B235="","",TEXT(B235,"MMMM YYYY"))</f>
        <v/>
      </c>
    </row>
    <row r="236" ht="18" customHeight="1">
      <c r="A236" s="2">
        <f>IF(B236&lt;&gt;"",ROW()-2,"")</f>
        <v/>
      </c>
      <c r="P236" s="2">
        <f>IF(OR(O236="",B236=""),"—",IFERROR(INT(B236)-INT(O236),"—"))</f>
        <v/>
      </c>
      <c r="Q236" s="24">
        <f>IF(B236="","",TEXT(B236,"MMMM YYYY"))</f>
        <v/>
      </c>
    </row>
    <row r="237" ht="18" customHeight="1">
      <c r="A237" s="2">
        <f>IF(B237&lt;&gt;"",ROW()-2,"")</f>
        <v/>
      </c>
      <c r="P237" s="2">
        <f>IF(OR(O237="",B237=""),"—",IFERROR(INT(B237)-INT(O237),"—"))</f>
        <v/>
      </c>
      <c r="Q237" s="24">
        <f>IF(B237="","",TEXT(B237,"MMMM YYYY"))</f>
        <v/>
      </c>
    </row>
    <row r="238" ht="18" customHeight="1">
      <c r="A238" s="2">
        <f>IF(B238&lt;&gt;"",ROW()-2,"")</f>
        <v/>
      </c>
      <c r="P238" s="2">
        <f>IF(OR(O238="",B238=""),"—",IFERROR(INT(B238)-INT(O238),"—"))</f>
        <v/>
      </c>
      <c r="Q238" s="24">
        <f>IF(B238="","",TEXT(B238,"MMMM YYYY"))</f>
        <v/>
      </c>
    </row>
    <row r="239" ht="18" customHeight="1">
      <c r="A239" s="2">
        <f>IF(B239&lt;&gt;"",ROW()-2,"")</f>
        <v/>
      </c>
      <c r="P239" s="2">
        <f>IF(OR(O239="",B239=""),"—",IFERROR(INT(B239)-INT(O239),"—"))</f>
        <v/>
      </c>
      <c r="Q239" s="24">
        <f>IF(B239="","",TEXT(B239,"MMMM YYYY"))</f>
        <v/>
      </c>
    </row>
    <row r="240" ht="18" customHeight="1">
      <c r="A240" s="2">
        <f>IF(B240&lt;&gt;"",ROW()-2,"")</f>
        <v/>
      </c>
      <c r="P240" s="2">
        <f>IF(OR(O240="",B240=""),"—",IFERROR(INT(B240)-INT(O240),"—"))</f>
        <v/>
      </c>
      <c r="Q240" s="24">
        <f>IF(B240="","",TEXT(B240,"MMMM YYYY"))</f>
        <v/>
      </c>
    </row>
    <row r="241" ht="18" customHeight="1">
      <c r="A241" s="2">
        <f>IF(B241&lt;&gt;"",ROW()-2,"")</f>
        <v/>
      </c>
      <c r="P241" s="2">
        <f>IF(OR(O241="",B241=""),"—",IFERROR(INT(B241)-INT(O241),"—"))</f>
        <v/>
      </c>
      <c r="Q241" s="24">
        <f>IF(B241="","",TEXT(B241,"MMMM YYYY"))</f>
        <v/>
      </c>
    </row>
    <row r="242" ht="18" customHeight="1">
      <c r="A242" s="2">
        <f>IF(B242&lt;&gt;"",ROW()-2,"")</f>
        <v/>
      </c>
      <c r="P242" s="2">
        <f>IF(OR(O242="",B242=""),"—",IFERROR(INT(B242)-INT(O242),"—"))</f>
        <v/>
      </c>
      <c r="Q242" s="24">
        <f>IF(B242="","",TEXT(B242,"MMMM YYYY"))</f>
        <v/>
      </c>
    </row>
    <row r="243" ht="18" customHeight="1">
      <c r="A243" s="2">
        <f>IF(B243&lt;&gt;"",ROW()-2,"")</f>
        <v/>
      </c>
      <c r="P243" s="2">
        <f>IF(OR(O243="",B243=""),"—",IFERROR(INT(B243)-INT(O243),"—"))</f>
        <v/>
      </c>
      <c r="Q243" s="24">
        <f>IF(B243="","",TEXT(B243,"MMMM YYYY"))</f>
        <v/>
      </c>
    </row>
    <row r="244" ht="18" customHeight="1">
      <c r="A244" s="2">
        <f>IF(B244&lt;&gt;"",ROW()-2,"")</f>
        <v/>
      </c>
      <c r="P244" s="2">
        <f>IF(OR(O244="",B244=""),"—",IFERROR(INT(B244)-INT(O244),"—"))</f>
        <v/>
      </c>
      <c r="Q244" s="24">
        <f>IF(B244="","",TEXT(B244,"MMMM YYYY"))</f>
        <v/>
      </c>
    </row>
    <row r="245" ht="18" customHeight="1">
      <c r="A245" s="2">
        <f>IF(B245&lt;&gt;"",ROW()-2,"")</f>
        <v/>
      </c>
      <c r="P245" s="2">
        <f>IF(OR(O245="",B245=""),"—",IFERROR(INT(B245)-INT(O245),"—"))</f>
        <v/>
      </c>
      <c r="Q245" s="24">
        <f>IF(B245="","",TEXT(B245,"MMMM YYYY"))</f>
        <v/>
      </c>
    </row>
    <row r="246" ht="18" customHeight="1">
      <c r="A246" s="2">
        <f>IF(B246&lt;&gt;"",ROW()-2,"")</f>
        <v/>
      </c>
      <c r="P246" s="2">
        <f>IF(OR(O246="",B246=""),"—",IFERROR(INT(B246)-INT(O246),"—"))</f>
        <v/>
      </c>
      <c r="Q246" s="24">
        <f>IF(B246="","",TEXT(B246,"MMMM YYYY"))</f>
        <v/>
      </c>
    </row>
    <row r="247" ht="18" customHeight="1">
      <c r="A247" s="2">
        <f>IF(B247&lt;&gt;"",ROW()-2,"")</f>
        <v/>
      </c>
      <c r="P247" s="2">
        <f>IF(OR(O247="",B247=""),"—",IFERROR(INT(B247)-INT(O247),"—"))</f>
        <v/>
      </c>
      <c r="Q247" s="24">
        <f>IF(B247="","",TEXT(B247,"MMMM YYYY"))</f>
        <v/>
      </c>
    </row>
    <row r="248" ht="18" customHeight="1">
      <c r="A248" s="2">
        <f>IF(B248&lt;&gt;"",ROW()-2,"")</f>
        <v/>
      </c>
      <c r="P248" s="2">
        <f>IF(OR(O248="",B248=""),"—",IFERROR(INT(B248)-INT(O248),"—"))</f>
        <v/>
      </c>
      <c r="Q248" s="24">
        <f>IF(B248="","",TEXT(B248,"MMMM YYYY"))</f>
        <v/>
      </c>
    </row>
    <row r="249" ht="18" customHeight="1">
      <c r="A249" s="2">
        <f>IF(B249&lt;&gt;"",ROW()-2,"")</f>
        <v/>
      </c>
      <c r="P249" s="2">
        <f>IF(OR(O249="",B249=""),"—",IFERROR(INT(B249)-INT(O249),"—"))</f>
        <v/>
      </c>
      <c r="Q249" s="24">
        <f>IF(B249="","",TEXT(B249,"MMMM YYYY"))</f>
        <v/>
      </c>
    </row>
    <row r="250" ht="18" customHeight="1">
      <c r="A250" s="2">
        <f>IF(B250&lt;&gt;"",ROW()-2,"")</f>
        <v/>
      </c>
      <c r="P250" s="2">
        <f>IF(OR(O250="",B250=""),"—",IFERROR(INT(B250)-INT(O250),"—"))</f>
        <v/>
      </c>
      <c r="Q250" s="24">
        <f>IF(B250="","",TEXT(B250,"MMMM YYYY"))</f>
        <v/>
      </c>
    </row>
    <row r="251" ht="18" customHeight="1">
      <c r="A251" s="2">
        <f>IF(B251&lt;&gt;"",ROW()-2,"")</f>
        <v/>
      </c>
      <c r="P251" s="2">
        <f>IF(OR(O251="",B251=""),"—",IFERROR(INT(B251)-INT(O251),"—"))</f>
        <v/>
      </c>
      <c r="Q251" s="24">
        <f>IF(B251="","",TEXT(B251,"MMMM YYYY"))</f>
        <v/>
      </c>
    </row>
    <row r="252" ht="18" customHeight="1">
      <c r="A252" s="2">
        <f>IF(B252&lt;&gt;"",ROW()-2,"")</f>
        <v/>
      </c>
      <c r="P252" s="2">
        <f>IF(OR(O252="",B252=""),"—",IFERROR(INT(B252)-INT(O252),"—"))</f>
        <v/>
      </c>
      <c r="Q252" s="24">
        <f>IF(B252="","",TEXT(B252,"MMMM YYYY"))</f>
        <v/>
      </c>
    </row>
    <row r="253" ht="18" customHeight="1">
      <c r="A253" s="2">
        <f>IF(B253&lt;&gt;"",ROW()-2,"")</f>
        <v/>
      </c>
      <c r="P253" s="2">
        <f>IF(OR(O253="",B253=""),"—",IFERROR(INT(B253)-INT(O253),"—"))</f>
        <v/>
      </c>
      <c r="Q253" s="24">
        <f>IF(B253="","",TEXT(B253,"MMMM YYYY"))</f>
        <v/>
      </c>
    </row>
    <row r="254" ht="18" customHeight="1">
      <c r="A254" s="2">
        <f>IF(B254&lt;&gt;"",ROW()-2,"")</f>
        <v/>
      </c>
      <c r="P254" s="2">
        <f>IF(OR(O254="",B254=""),"—",IFERROR(INT(B254)-INT(O254),"—"))</f>
        <v/>
      </c>
      <c r="Q254" s="24">
        <f>IF(B254="","",TEXT(B254,"MMMM YYYY"))</f>
        <v/>
      </c>
    </row>
    <row r="255" ht="18" customHeight="1">
      <c r="A255" s="2">
        <f>IF(B255&lt;&gt;"",ROW()-2,"")</f>
        <v/>
      </c>
      <c r="P255" s="2">
        <f>IF(OR(O255="",B255=""),"—",IFERROR(INT(B255)-INT(O255),"—"))</f>
        <v/>
      </c>
      <c r="Q255" s="24">
        <f>IF(B255="","",TEXT(B255,"MMMM YYYY"))</f>
        <v/>
      </c>
    </row>
    <row r="256" ht="18" customHeight="1">
      <c r="A256" s="2">
        <f>IF(B256&lt;&gt;"",ROW()-2,"")</f>
        <v/>
      </c>
      <c r="P256" s="2">
        <f>IF(OR(O256="",B256=""),"—",IFERROR(INT(B256)-INT(O256),"—"))</f>
        <v/>
      </c>
      <c r="Q256" s="24">
        <f>IF(B256="","",TEXT(B256,"MMMM YYYY"))</f>
        <v/>
      </c>
    </row>
    <row r="257" ht="18" customHeight="1">
      <c r="A257" s="2">
        <f>IF(B257&lt;&gt;"",ROW()-2,"")</f>
        <v/>
      </c>
      <c r="P257" s="2">
        <f>IF(OR(O257="",B257=""),"—",IFERROR(INT(B257)-INT(O257),"—"))</f>
        <v/>
      </c>
      <c r="Q257" s="24">
        <f>IF(B257="","",TEXT(B257,"MMMM YYYY"))</f>
        <v/>
      </c>
    </row>
    <row r="258" ht="18" customHeight="1">
      <c r="A258" s="2">
        <f>IF(B258&lt;&gt;"",ROW()-2,"")</f>
        <v/>
      </c>
      <c r="P258" s="2">
        <f>IF(OR(O258="",B258=""),"—",IFERROR(INT(B258)-INT(O258),"—"))</f>
        <v/>
      </c>
      <c r="Q258" s="24">
        <f>IF(B258="","",TEXT(B258,"MMMM YYYY"))</f>
        <v/>
      </c>
    </row>
    <row r="259" ht="18" customHeight="1">
      <c r="A259" s="2">
        <f>IF(B259&lt;&gt;"",ROW()-2,"")</f>
        <v/>
      </c>
      <c r="P259" s="2">
        <f>IF(OR(O259="",B259=""),"—",IFERROR(INT(B259)-INT(O259),"—"))</f>
        <v/>
      </c>
      <c r="Q259" s="24">
        <f>IF(B259="","",TEXT(B259,"MMMM YYYY"))</f>
        <v/>
      </c>
    </row>
    <row r="260" ht="18" customHeight="1">
      <c r="A260" s="2">
        <f>IF(B260&lt;&gt;"",ROW()-2,"")</f>
        <v/>
      </c>
      <c r="P260" s="2">
        <f>IF(OR(O260="",B260=""),"—",IFERROR(INT(B260)-INT(O260),"—"))</f>
        <v/>
      </c>
      <c r="Q260" s="24">
        <f>IF(B260="","",TEXT(B260,"MMMM YYYY"))</f>
        <v/>
      </c>
    </row>
    <row r="261" ht="18" customHeight="1">
      <c r="A261" s="2">
        <f>IF(B261&lt;&gt;"",ROW()-2,"")</f>
        <v/>
      </c>
      <c r="P261" s="2">
        <f>IF(OR(O261="",B261=""),"—",IFERROR(INT(B261)-INT(O261),"—"))</f>
        <v/>
      </c>
      <c r="Q261" s="24">
        <f>IF(B261="","",TEXT(B261,"MMMM YYYY"))</f>
        <v/>
      </c>
    </row>
    <row r="262" ht="18" customHeight="1">
      <c r="A262" s="2">
        <f>IF(B262&lt;&gt;"",ROW()-2,"")</f>
        <v/>
      </c>
      <c r="P262" s="2">
        <f>IF(OR(O262="",B262=""),"—",IFERROR(INT(B262)-INT(O262),"—"))</f>
        <v/>
      </c>
      <c r="Q262" s="24">
        <f>IF(B262="","",TEXT(B262,"MMMM YYYY"))</f>
        <v/>
      </c>
    </row>
    <row r="263" ht="18" customHeight="1">
      <c r="A263" s="2">
        <f>IF(B263&lt;&gt;"",ROW()-2,"")</f>
        <v/>
      </c>
      <c r="P263" s="2">
        <f>IF(OR(O263="",B263=""),"—",IFERROR(INT(B263)-INT(O263),"—"))</f>
        <v/>
      </c>
      <c r="Q263" s="24">
        <f>IF(B263="","",TEXT(B263,"MMMM YYYY"))</f>
        <v/>
      </c>
    </row>
    <row r="264" ht="18" customHeight="1">
      <c r="A264" s="2">
        <f>IF(B264&lt;&gt;"",ROW()-2,"")</f>
        <v/>
      </c>
      <c r="P264" s="2">
        <f>IF(OR(O264="",B264=""),"—",IFERROR(INT(B264)-INT(O264),"—"))</f>
        <v/>
      </c>
      <c r="Q264" s="24">
        <f>IF(B264="","",TEXT(B264,"MMMM YYYY"))</f>
        <v/>
      </c>
    </row>
    <row r="265" ht="18" customHeight="1">
      <c r="A265" s="2">
        <f>IF(B265&lt;&gt;"",ROW()-2,"")</f>
        <v/>
      </c>
      <c r="P265" s="2">
        <f>IF(OR(O265="",B265=""),"—",IFERROR(INT(B265)-INT(O265),"—"))</f>
        <v/>
      </c>
      <c r="Q265" s="24">
        <f>IF(B265="","",TEXT(B265,"MMMM YYYY"))</f>
        <v/>
      </c>
    </row>
    <row r="266" ht="18" customHeight="1">
      <c r="A266" s="2">
        <f>IF(B266&lt;&gt;"",ROW()-2,"")</f>
        <v/>
      </c>
      <c r="P266" s="2">
        <f>IF(OR(O266="",B266=""),"—",IFERROR(INT(B266)-INT(O266),"—"))</f>
        <v/>
      </c>
      <c r="Q266" s="24">
        <f>IF(B266="","",TEXT(B266,"MMMM YYYY"))</f>
        <v/>
      </c>
    </row>
    <row r="267" ht="18" customHeight="1">
      <c r="A267" s="2">
        <f>IF(B267&lt;&gt;"",ROW()-2,"")</f>
        <v/>
      </c>
      <c r="P267" s="2">
        <f>IF(OR(O267="",B267=""),"—",IFERROR(INT(B267)-INT(O267),"—"))</f>
        <v/>
      </c>
      <c r="Q267" s="24">
        <f>IF(B267="","",TEXT(B267,"MMMM YYYY"))</f>
        <v/>
      </c>
    </row>
    <row r="268" ht="18" customHeight="1">
      <c r="A268" s="2">
        <f>IF(B268&lt;&gt;"",ROW()-2,"")</f>
        <v/>
      </c>
      <c r="P268" s="2">
        <f>IF(OR(O268="",B268=""),"—",IFERROR(INT(B268)-INT(O268),"—"))</f>
        <v/>
      </c>
      <c r="Q268" s="24">
        <f>IF(B268="","",TEXT(B268,"MMMM YYYY"))</f>
        <v/>
      </c>
    </row>
    <row r="269" ht="18" customHeight="1">
      <c r="A269" s="2">
        <f>IF(B269&lt;&gt;"",ROW()-2,"")</f>
        <v/>
      </c>
      <c r="P269" s="2">
        <f>IF(OR(O269="",B269=""),"—",IFERROR(INT(B269)-INT(O269),"—"))</f>
        <v/>
      </c>
      <c r="Q269" s="24">
        <f>IF(B269="","",TEXT(B269,"MMMM YYYY"))</f>
        <v/>
      </c>
    </row>
    <row r="270" ht="18" customHeight="1">
      <c r="A270" s="2">
        <f>IF(B270&lt;&gt;"",ROW()-2,"")</f>
        <v/>
      </c>
      <c r="P270" s="2">
        <f>IF(OR(O270="",B270=""),"—",IFERROR(INT(B270)-INT(O270),"—"))</f>
        <v/>
      </c>
      <c r="Q270" s="24">
        <f>IF(B270="","",TEXT(B270,"MMMM YYYY"))</f>
        <v/>
      </c>
    </row>
    <row r="271" ht="18" customHeight="1">
      <c r="A271" s="2">
        <f>IF(B271&lt;&gt;"",ROW()-2,"")</f>
        <v/>
      </c>
      <c r="P271" s="2">
        <f>IF(OR(O271="",B271=""),"—",IFERROR(INT(B271)-INT(O271),"—"))</f>
        <v/>
      </c>
      <c r="Q271" s="24">
        <f>IF(B271="","",TEXT(B271,"MMMM YYYY"))</f>
        <v/>
      </c>
    </row>
    <row r="272" ht="18" customHeight="1">
      <c r="A272" s="2">
        <f>IF(B272&lt;&gt;"",ROW()-2,"")</f>
        <v/>
      </c>
      <c r="P272" s="2">
        <f>IF(OR(O272="",B272=""),"—",IFERROR(INT(B272)-INT(O272),"—"))</f>
        <v/>
      </c>
      <c r="Q272" s="24">
        <f>IF(B272="","",TEXT(B272,"MMMM YYYY"))</f>
        <v/>
      </c>
    </row>
    <row r="273" ht="18" customHeight="1">
      <c r="A273" s="2">
        <f>IF(B273&lt;&gt;"",ROW()-2,"")</f>
        <v/>
      </c>
      <c r="P273" s="2">
        <f>IF(OR(O273="",B273=""),"—",IFERROR(INT(B273)-INT(O273),"—"))</f>
        <v/>
      </c>
      <c r="Q273" s="24">
        <f>IF(B273="","",TEXT(B273,"MMMM YYYY"))</f>
        <v/>
      </c>
    </row>
    <row r="274" ht="18" customHeight="1">
      <c r="A274" s="2">
        <f>IF(B274&lt;&gt;"",ROW()-2,"")</f>
        <v/>
      </c>
      <c r="P274" s="2">
        <f>IF(OR(O274="",B274=""),"—",IFERROR(INT(B274)-INT(O274),"—"))</f>
        <v/>
      </c>
      <c r="Q274" s="24">
        <f>IF(B274="","",TEXT(B274,"MMMM YYYY"))</f>
        <v/>
      </c>
    </row>
    <row r="275" ht="18" customHeight="1">
      <c r="A275" s="2">
        <f>IF(B275&lt;&gt;"",ROW()-2,"")</f>
        <v/>
      </c>
      <c r="P275" s="2">
        <f>IF(OR(O275="",B275=""),"—",IFERROR(INT(B275)-INT(O275),"—"))</f>
        <v/>
      </c>
      <c r="Q275" s="24">
        <f>IF(B275="","",TEXT(B275,"MMMM YYYY"))</f>
        <v/>
      </c>
    </row>
    <row r="276" ht="18" customHeight="1">
      <c r="A276" s="2">
        <f>IF(B276&lt;&gt;"",ROW()-2,"")</f>
        <v/>
      </c>
      <c r="P276" s="2">
        <f>IF(OR(O276="",B276=""),"—",IFERROR(INT(B276)-INT(O276),"—"))</f>
        <v/>
      </c>
      <c r="Q276" s="24">
        <f>IF(B276="","",TEXT(B276,"MMMM YYYY"))</f>
        <v/>
      </c>
    </row>
    <row r="277" ht="18" customHeight="1">
      <c r="A277" s="2">
        <f>IF(B277&lt;&gt;"",ROW()-2,"")</f>
        <v/>
      </c>
      <c r="P277" s="2">
        <f>IF(OR(O277="",B277=""),"—",IFERROR(INT(B277)-INT(O277),"—"))</f>
        <v/>
      </c>
      <c r="Q277" s="24">
        <f>IF(B277="","",TEXT(B277,"MMMM YYYY"))</f>
        <v/>
      </c>
    </row>
    <row r="278" ht="18" customHeight="1">
      <c r="A278" s="2">
        <f>IF(B278&lt;&gt;"",ROW()-2,"")</f>
        <v/>
      </c>
      <c r="P278" s="2">
        <f>IF(OR(O278="",B278=""),"—",IFERROR(INT(B278)-INT(O278),"—"))</f>
        <v/>
      </c>
      <c r="Q278" s="24">
        <f>IF(B278="","",TEXT(B278,"MMMM YYYY"))</f>
        <v/>
      </c>
    </row>
    <row r="279" ht="18" customHeight="1">
      <c r="A279" s="2">
        <f>IF(B279&lt;&gt;"",ROW()-2,"")</f>
        <v/>
      </c>
      <c r="P279" s="2">
        <f>IF(OR(O279="",B279=""),"—",IFERROR(INT(B279)-INT(O279),"—"))</f>
        <v/>
      </c>
      <c r="Q279" s="24">
        <f>IF(B279="","",TEXT(B279,"MMMM YYYY"))</f>
        <v/>
      </c>
    </row>
    <row r="280" ht="18" customHeight="1">
      <c r="A280" s="2">
        <f>IF(B280&lt;&gt;"",ROW()-2,"")</f>
        <v/>
      </c>
      <c r="P280" s="2">
        <f>IF(OR(O280="",B280=""),"—",IFERROR(INT(B280)-INT(O280),"—"))</f>
        <v/>
      </c>
      <c r="Q280" s="24">
        <f>IF(B280="","",TEXT(B280,"MMMM YYYY"))</f>
        <v/>
      </c>
    </row>
    <row r="281" ht="18" customHeight="1">
      <c r="A281" s="2">
        <f>IF(B281&lt;&gt;"",ROW()-2,"")</f>
        <v/>
      </c>
      <c r="P281" s="2">
        <f>IF(OR(O281="",B281=""),"—",IFERROR(INT(B281)-INT(O281),"—"))</f>
        <v/>
      </c>
      <c r="Q281" s="24">
        <f>IF(B281="","",TEXT(B281,"MMMM YYYY"))</f>
        <v/>
      </c>
    </row>
    <row r="282" ht="18" customHeight="1">
      <c r="A282" s="2">
        <f>IF(B282&lt;&gt;"",ROW()-2,"")</f>
        <v/>
      </c>
      <c r="P282" s="2">
        <f>IF(OR(O282="",B282=""),"—",IFERROR(INT(B282)-INT(O282),"—"))</f>
        <v/>
      </c>
      <c r="Q282" s="24">
        <f>IF(B282="","",TEXT(B282,"MMMM YYYY"))</f>
        <v/>
      </c>
    </row>
    <row r="283" ht="18" customHeight="1">
      <c r="A283" s="2">
        <f>IF(B283&lt;&gt;"",ROW()-2,"")</f>
        <v/>
      </c>
      <c r="P283" s="2">
        <f>IF(OR(O283="",B283=""),"—",IFERROR(INT(B283)-INT(O283),"—"))</f>
        <v/>
      </c>
      <c r="Q283" s="24">
        <f>IF(B283="","",TEXT(B283,"MMMM YYYY"))</f>
        <v/>
      </c>
    </row>
    <row r="284" ht="18" customHeight="1">
      <c r="A284" s="2">
        <f>IF(B284&lt;&gt;"",ROW()-2,"")</f>
        <v/>
      </c>
      <c r="P284" s="2">
        <f>IF(OR(O284="",B284=""),"—",IFERROR(INT(B284)-INT(O284),"—"))</f>
        <v/>
      </c>
      <c r="Q284" s="24">
        <f>IF(B284="","",TEXT(B284,"MMMM YYYY"))</f>
        <v/>
      </c>
    </row>
    <row r="285" ht="18" customHeight="1">
      <c r="A285" s="2">
        <f>IF(B285&lt;&gt;"",ROW()-2,"")</f>
        <v/>
      </c>
      <c r="P285" s="2">
        <f>IF(OR(O285="",B285=""),"—",IFERROR(INT(B285)-INT(O285),"—"))</f>
        <v/>
      </c>
      <c r="Q285" s="24">
        <f>IF(B285="","",TEXT(B285,"MMMM YYYY"))</f>
        <v/>
      </c>
    </row>
    <row r="286" ht="18" customHeight="1">
      <c r="A286" s="2">
        <f>IF(B286&lt;&gt;"",ROW()-2,"")</f>
        <v/>
      </c>
      <c r="P286" s="2">
        <f>IF(OR(O286="",B286=""),"—",IFERROR(INT(B286)-INT(O286),"—"))</f>
        <v/>
      </c>
      <c r="Q286" s="24">
        <f>IF(B286="","",TEXT(B286,"MMMM YYYY"))</f>
        <v/>
      </c>
    </row>
    <row r="287" ht="18" customHeight="1">
      <c r="A287" s="2">
        <f>IF(B287&lt;&gt;"",ROW()-2,"")</f>
        <v/>
      </c>
      <c r="P287" s="2">
        <f>IF(OR(O287="",B287=""),"—",IFERROR(INT(B287)-INT(O287),"—"))</f>
        <v/>
      </c>
      <c r="Q287" s="24">
        <f>IF(B287="","",TEXT(B287,"MMMM YYYY"))</f>
        <v/>
      </c>
    </row>
    <row r="288" ht="18" customHeight="1">
      <c r="A288" s="2">
        <f>IF(B288&lt;&gt;"",ROW()-2,"")</f>
        <v/>
      </c>
      <c r="P288" s="2">
        <f>IF(OR(O288="",B288=""),"—",IFERROR(INT(B288)-INT(O288),"—"))</f>
        <v/>
      </c>
      <c r="Q288" s="24">
        <f>IF(B288="","",TEXT(B288,"MMMM YYYY"))</f>
        <v/>
      </c>
    </row>
    <row r="289" ht="18" customHeight="1">
      <c r="A289" s="2">
        <f>IF(B289&lt;&gt;"",ROW()-2,"")</f>
        <v/>
      </c>
      <c r="P289" s="2">
        <f>IF(OR(O289="",B289=""),"—",IFERROR(INT(B289)-INT(O289),"—"))</f>
        <v/>
      </c>
      <c r="Q289" s="24">
        <f>IF(B289="","",TEXT(B289,"MMMM YYYY"))</f>
        <v/>
      </c>
    </row>
    <row r="290" ht="18" customHeight="1">
      <c r="A290" s="2">
        <f>IF(B290&lt;&gt;"",ROW()-2,"")</f>
        <v/>
      </c>
      <c r="P290" s="2">
        <f>IF(OR(O290="",B290=""),"—",IFERROR(INT(B290)-INT(O290),"—"))</f>
        <v/>
      </c>
      <c r="Q290" s="24">
        <f>IF(B290="","",TEXT(B290,"MMMM YYYY"))</f>
        <v/>
      </c>
    </row>
    <row r="291" ht="18" customHeight="1">
      <c r="A291" s="2">
        <f>IF(B291&lt;&gt;"",ROW()-2,"")</f>
        <v/>
      </c>
      <c r="P291" s="2">
        <f>IF(OR(O291="",B291=""),"—",IFERROR(INT(B291)-INT(O291),"—"))</f>
        <v/>
      </c>
      <c r="Q291" s="24">
        <f>IF(B291="","",TEXT(B291,"MMMM YYYY"))</f>
        <v/>
      </c>
    </row>
    <row r="292" ht="18" customHeight="1">
      <c r="A292" s="2">
        <f>IF(B292&lt;&gt;"",ROW()-2,"")</f>
        <v/>
      </c>
      <c r="P292" s="2">
        <f>IF(OR(O292="",B292=""),"—",IFERROR(INT(B292)-INT(O292),"—"))</f>
        <v/>
      </c>
      <c r="Q292" s="24">
        <f>IF(B292="","",TEXT(B292,"MMMM YYYY"))</f>
        <v/>
      </c>
    </row>
    <row r="293" ht="18" customHeight="1">
      <c r="A293" s="2">
        <f>IF(B293&lt;&gt;"",ROW()-2,"")</f>
        <v/>
      </c>
      <c r="P293" s="2">
        <f>IF(OR(O293="",B293=""),"—",IFERROR(INT(B293)-INT(O293),"—"))</f>
        <v/>
      </c>
      <c r="Q293" s="24">
        <f>IF(B293="","",TEXT(B293,"MMMM YYYY"))</f>
        <v/>
      </c>
    </row>
    <row r="294" ht="18" customHeight="1">
      <c r="A294" s="2">
        <f>IF(B294&lt;&gt;"",ROW()-2,"")</f>
        <v/>
      </c>
      <c r="P294" s="2">
        <f>IF(OR(O294="",B294=""),"—",IFERROR(INT(B294)-INT(O294),"—"))</f>
        <v/>
      </c>
      <c r="Q294" s="24">
        <f>IF(B294="","",TEXT(B294,"MMMM YYYY"))</f>
        <v/>
      </c>
    </row>
    <row r="295" ht="18" customHeight="1">
      <c r="A295" s="2">
        <f>IF(B295&lt;&gt;"",ROW()-2,"")</f>
        <v/>
      </c>
      <c r="P295" s="2">
        <f>IF(OR(O295="",B295=""),"—",IFERROR(INT(B295)-INT(O295),"—"))</f>
        <v/>
      </c>
      <c r="Q295" s="24">
        <f>IF(B295="","",TEXT(B295,"MMMM YYYY"))</f>
        <v/>
      </c>
    </row>
    <row r="296" ht="18" customHeight="1">
      <c r="A296" s="2">
        <f>IF(B296&lt;&gt;"",ROW()-2,"")</f>
        <v/>
      </c>
      <c r="P296" s="2">
        <f>IF(OR(O296="",B296=""),"—",IFERROR(INT(B296)-INT(O296),"—"))</f>
        <v/>
      </c>
      <c r="Q296" s="24">
        <f>IF(B296="","",TEXT(B296,"MMMM YYYY"))</f>
        <v/>
      </c>
    </row>
    <row r="297" ht="18" customHeight="1">
      <c r="A297" s="2">
        <f>IF(B297&lt;&gt;"",ROW()-2,"")</f>
        <v/>
      </c>
      <c r="P297" s="2">
        <f>IF(OR(O297="",B297=""),"—",IFERROR(INT(B297)-INT(O297),"—"))</f>
        <v/>
      </c>
      <c r="Q297" s="24">
        <f>IF(B297="","",TEXT(B297,"MMMM YYYY"))</f>
        <v/>
      </c>
    </row>
    <row r="298" ht="18" customHeight="1">
      <c r="A298" s="2">
        <f>IF(B298&lt;&gt;"",ROW()-2,"")</f>
        <v/>
      </c>
      <c r="P298" s="2">
        <f>IF(OR(O298="",B298=""),"—",IFERROR(INT(B298)-INT(O298),"—"))</f>
        <v/>
      </c>
      <c r="Q298" s="24">
        <f>IF(B298="","",TEXT(B298,"MMMM YYYY"))</f>
        <v/>
      </c>
    </row>
    <row r="299" ht="18" customHeight="1">
      <c r="A299" s="2">
        <f>IF(B299&lt;&gt;"",ROW()-2,"")</f>
        <v/>
      </c>
      <c r="P299" s="2">
        <f>IF(OR(O299="",B299=""),"—",IFERROR(INT(B299)-INT(O299),"—"))</f>
        <v/>
      </c>
      <c r="Q299" s="24">
        <f>IF(B299="","",TEXT(B299,"MMMM YYYY"))</f>
        <v/>
      </c>
    </row>
    <row r="300" ht="18" customHeight="1">
      <c r="A300" s="2">
        <f>IF(B300&lt;&gt;"",ROW()-2,"")</f>
        <v/>
      </c>
      <c r="P300" s="2">
        <f>IF(OR(O300="",B300=""),"—",IFERROR(INT(B300)-INT(O300),"—"))</f>
        <v/>
      </c>
      <c r="Q300" s="24">
        <f>IF(B300="","",TEXT(B300,"MMMM YYYY"))</f>
        <v/>
      </c>
    </row>
    <row r="301" ht="18" customHeight="1">
      <c r="A301" s="2">
        <f>IF(B301&lt;&gt;"",ROW()-2,"")</f>
        <v/>
      </c>
      <c r="P301" s="2">
        <f>IF(OR(O301="",B301=""),"—",IFERROR(INT(B301)-INT(O301),"—"))</f>
        <v/>
      </c>
      <c r="Q301" s="24">
        <f>IF(B301="","",TEXT(B301,"MMMM YYYY"))</f>
        <v/>
      </c>
    </row>
    <row r="302" ht="18" customHeight="1">
      <c r="A302" s="2">
        <f>IF(B302&lt;&gt;"",ROW()-2,"")</f>
        <v/>
      </c>
      <c r="P302" s="2">
        <f>IF(OR(O302="",B302=""),"—",IFERROR(INT(B302)-INT(O302),"—"))</f>
        <v/>
      </c>
      <c r="Q302" s="24">
        <f>IF(B302="","",TEXT(B302,"MMMM YYYY"))</f>
        <v/>
      </c>
    </row>
    <row r="303" ht="18" customHeight="1">
      <c r="A303" s="2">
        <f>IF(B303&lt;&gt;"",ROW()-2,"")</f>
        <v/>
      </c>
      <c r="P303" s="2">
        <f>IF(OR(O303="",B303=""),"—",IFERROR(INT(B303)-INT(O303),"—"))</f>
        <v/>
      </c>
      <c r="Q303" s="24">
        <f>IF(B303="","",TEXT(B303,"MMMM YYYY"))</f>
        <v/>
      </c>
    </row>
    <row r="304" ht="18" customHeight="1">
      <c r="A304" s="2">
        <f>IF(B304&lt;&gt;"",ROW()-2,"")</f>
        <v/>
      </c>
      <c r="P304" s="2">
        <f>IF(OR(O304="",B304=""),"—",IFERROR(INT(B304)-INT(O304),"—"))</f>
        <v/>
      </c>
      <c r="Q304" s="24">
        <f>IF(B304="","",TEXT(B304,"MMMM YYYY"))</f>
        <v/>
      </c>
    </row>
    <row r="305" ht="18" customHeight="1">
      <c r="A305" s="2">
        <f>IF(B305&lt;&gt;"",ROW()-2,"")</f>
        <v/>
      </c>
      <c r="P305" s="2">
        <f>IF(OR(O305="",B305=""),"—",IFERROR(INT(B305)-INT(O305),"—"))</f>
        <v/>
      </c>
      <c r="Q305" s="24">
        <f>IF(B305="","",TEXT(B305,"MMMM YYYY"))</f>
        <v/>
      </c>
    </row>
    <row r="306" ht="18" customHeight="1">
      <c r="A306" s="2">
        <f>IF(B306&lt;&gt;"",ROW()-2,"")</f>
        <v/>
      </c>
      <c r="P306" s="2">
        <f>IF(OR(O306="",B306=""),"—",IFERROR(INT(B306)-INT(O306),"—"))</f>
        <v/>
      </c>
      <c r="Q306" s="24">
        <f>IF(B306="","",TEXT(B306,"MMMM YYYY"))</f>
        <v/>
      </c>
    </row>
    <row r="307" ht="18" customHeight="1">
      <c r="A307" s="2">
        <f>IF(B307&lt;&gt;"",ROW()-2,"")</f>
        <v/>
      </c>
      <c r="P307" s="2">
        <f>IF(OR(O307="",B307=""),"—",IFERROR(INT(B307)-INT(O307),"—"))</f>
        <v/>
      </c>
      <c r="Q307" s="24">
        <f>IF(B307="","",TEXT(B307,"MMMM YYYY"))</f>
        <v/>
      </c>
    </row>
    <row r="308" ht="18" customHeight="1">
      <c r="A308" s="2">
        <f>IF(B308&lt;&gt;"",ROW()-2,"")</f>
        <v/>
      </c>
      <c r="P308" s="2">
        <f>IF(OR(O308="",B308=""),"—",IFERROR(INT(B308)-INT(O308),"—"))</f>
        <v/>
      </c>
      <c r="Q308" s="24">
        <f>IF(B308="","",TEXT(B308,"MMMM YYYY"))</f>
        <v/>
      </c>
    </row>
    <row r="309" ht="18" customHeight="1">
      <c r="A309" s="2">
        <f>IF(B309&lt;&gt;"",ROW()-2,"")</f>
        <v/>
      </c>
      <c r="P309" s="2">
        <f>IF(OR(O309="",B309=""),"—",IFERROR(INT(B309)-INT(O309),"—"))</f>
        <v/>
      </c>
      <c r="Q309" s="24">
        <f>IF(B309="","",TEXT(B309,"MMMM YYYY"))</f>
        <v/>
      </c>
    </row>
    <row r="310" ht="18" customHeight="1">
      <c r="A310" s="2">
        <f>IF(B310&lt;&gt;"",ROW()-2,"")</f>
        <v/>
      </c>
      <c r="P310" s="2">
        <f>IF(OR(O310="",B310=""),"—",IFERROR(INT(B310)-INT(O310),"—"))</f>
        <v/>
      </c>
      <c r="Q310" s="24">
        <f>IF(B310="","",TEXT(B310,"MMMM YYYY"))</f>
        <v/>
      </c>
    </row>
    <row r="311" ht="18" customHeight="1">
      <c r="A311" s="2">
        <f>IF(B311&lt;&gt;"",ROW()-2,"")</f>
        <v/>
      </c>
      <c r="P311" s="2">
        <f>IF(OR(O311="",B311=""),"—",IFERROR(INT(B311)-INT(O311),"—"))</f>
        <v/>
      </c>
      <c r="Q311" s="24">
        <f>IF(B311="","",TEXT(B311,"MMMM YYYY"))</f>
        <v/>
      </c>
    </row>
    <row r="312" ht="18" customHeight="1">
      <c r="A312" s="2">
        <f>IF(B312&lt;&gt;"",ROW()-2,"")</f>
        <v/>
      </c>
      <c r="P312" s="2">
        <f>IF(OR(O312="",B312=""),"—",IFERROR(INT(B312)-INT(O312),"—"))</f>
        <v/>
      </c>
      <c r="Q312" s="24">
        <f>IF(B312="","",TEXT(B312,"MMMM YYYY"))</f>
        <v/>
      </c>
    </row>
    <row r="313" ht="18" customHeight="1">
      <c r="A313" s="2">
        <f>IF(B313&lt;&gt;"",ROW()-2,"")</f>
        <v/>
      </c>
      <c r="P313" s="2">
        <f>IF(OR(O313="",B313=""),"—",IFERROR(INT(B313)-INT(O313),"—"))</f>
        <v/>
      </c>
      <c r="Q313" s="24">
        <f>IF(B313="","",TEXT(B313,"MMMM YYYY"))</f>
        <v/>
      </c>
    </row>
    <row r="314" ht="18" customHeight="1">
      <c r="A314" s="2">
        <f>IF(B314&lt;&gt;"",ROW()-2,"")</f>
        <v/>
      </c>
      <c r="P314" s="2">
        <f>IF(OR(O314="",B314=""),"—",IFERROR(INT(B314)-INT(O314),"—"))</f>
        <v/>
      </c>
      <c r="Q314" s="24">
        <f>IF(B314="","",TEXT(B314,"MMMM YYYY"))</f>
        <v/>
      </c>
    </row>
    <row r="315" ht="18" customHeight="1">
      <c r="A315" s="2">
        <f>IF(B315&lt;&gt;"",ROW()-2,"")</f>
        <v/>
      </c>
      <c r="P315" s="2">
        <f>IF(OR(O315="",B315=""),"—",IFERROR(INT(B315)-INT(O315),"—"))</f>
        <v/>
      </c>
      <c r="Q315" s="24">
        <f>IF(B315="","",TEXT(B315,"MMMM YYYY"))</f>
        <v/>
      </c>
    </row>
    <row r="316" ht="18" customHeight="1">
      <c r="A316" s="2">
        <f>IF(B316&lt;&gt;"",ROW()-2,"")</f>
        <v/>
      </c>
      <c r="P316" s="2">
        <f>IF(OR(O316="",B316=""),"—",IFERROR(INT(B316)-INT(O316),"—"))</f>
        <v/>
      </c>
      <c r="Q316" s="24">
        <f>IF(B316="","",TEXT(B316,"MMMM YYYY"))</f>
        <v/>
      </c>
    </row>
    <row r="317" ht="18" customHeight="1">
      <c r="A317" s="2">
        <f>IF(B317&lt;&gt;"",ROW()-2,"")</f>
        <v/>
      </c>
      <c r="P317" s="2">
        <f>IF(OR(O317="",B317=""),"—",IFERROR(INT(B317)-INT(O317),"—"))</f>
        <v/>
      </c>
      <c r="Q317" s="24">
        <f>IF(B317="","",TEXT(B317,"MMMM YYYY"))</f>
        <v/>
      </c>
    </row>
    <row r="318" ht="18" customHeight="1">
      <c r="A318" s="2">
        <f>IF(B318&lt;&gt;"",ROW()-2,"")</f>
        <v/>
      </c>
      <c r="P318" s="2">
        <f>IF(OR(O318="",B318=""),"—",IFERROR(INT(B318)-INT(O318),"—"))</f>
        <v/>
      </c>
      <c r="Q318" s="24">
        <f>IF(B318="","",TEXT(B318,"MMMM YYYY"))</f>
        <v/>
      </c>
    </row>
    <row r="319" ht="18" customHeight="1">
      <c r="A319" s="2">
        <f>IF(B319&lt;&gt;"",ROW()-2,"")</f>
        <v/>
      </c>
      <c r="P319" s="2">
        <f>IF(OR(O319="",B319=""),"—",IFERROR(INT(B319)-INT(O319),"—"))</f>
        <v/>
      </c>
      <c r="Q319" s="24">
        <f>IF(B319="","",TEXT(B319,"MMMM YYYY"))</f>
        <v/>
      </c>
    </row>
    <row r="320" ht="18" customHeight="1">
      <c r="A320" s="2">
        <f>IF(B320&lt;&gt;"",ROW()-2,"")</f>
        <v/>
      </c>
      <c r="P320" s="2">
        <f>IF(OR(O320="",B320=""),"—",IFERROR(INT(B320)-INT(O320),"—"))</f>
        <v/>
      </c>
      <c r="Q320" s="24">
        <f>IF(B320="","",TEXT(B320,"MMMM YYYY"))</f>
        <v/>
      </c>
    </row>
    <row r="321" ht="18" customHeight="1">
      <c r="A321" s="2">
        <f>IF(B321&lt;&gt;"",ROW()-2,"")</f>
        <v/>
      </c>
      <c r="P321" s="2">
        <f>IF(OR(O321="",B321=""),"—",IFERROR(INT(B321)-INT(O321),"—"))</f>
        <v/>
      </c>
      <c r="Q321" s="24">
        <f>IF(B321="","",TEXT(B321,"MMMM YYYY"))</f>
        <v/>
      </c>
    </row>
    <row r="322" ht="18" customHeight="1">
      <c r="A322" s="2">
        <f>IF(B322&lt;&gt;"",ROW()-2,"")</f>
        <v/>
      </c>
      <c r="P322" s="2">
        <f>IF(OR(O322="",B322=""),"—",IFERROR(INT(B322)-INT(O322),"—"))</f>
        <v/>
      </c>
      <c r="Q322" s="24">
        <f>IF(B322="","",TEXT(B322,"MMMM YYYY"))</f>
        <v/>
      </c>
    </row>
    <row r="323" ht="18" customHeight="1">
      <c r="A323" s="2">
        <f>IF(B323&lt;&gt;"",ROW()-2,"")</f>
        <v/>
      </c>
      <c r="P323" s="2">
        <f>IF(OR(O323="",B323=""),"—",IFERROR(INT(B323)-INT(O323),"—"))</f>
        <v/>
      </c>
      <c r="Q323" s="24">
        <f>IF(B323="","",TEXT(B323,"MMMM YYYY"))</f>
        <v/>
      </c>
    </row>
    <row r="324" ht="18" customHeight="1">
      <c r="A324" s="2">
        <f>IF(B324&lt;&gt;"",ROW()-2,"")</f>
        <v/>
      </c>
      <c r="P324" s="2">
        <f>IF(OR(O324="",B324=""),"—",IFERROR(INT(B324)-INT(O324),"—"))</f>
        <v/>
      </c>
      <c r="Q324" s="24">
        <f>IF(B324="","",TEXT(B324,"MMMM YYYY"))</f>
        <v/>
      </c>
    </row>
    <row r="325" ht="18" customHeight="1">
      <c r="A325" s="2">
        <f>IF(B325&lt;&gt;"",ROW()-2,"")</f>
        <v/>
      </c>
      <c r="P325" s="2">
        <f>IF(OR(O325="",B325=""),"—",IFERROR(INT(B325)-INT(O325),"—"))</f>
        <v/>
      </c>
      <c r="Q325" s="24">
        <f>IF(B325="","",TEXT(B325,"MMMM YYYY"))</f>
        <v/>
      </c>
    </row>
    <row r="326" ht="18" customHeight="1">
      <c r="A326" s="2">
        <f>IF(B326&lt;&gt;"",ROW()-2,"")</f>
        <v/>
      </c>
      <c r="P326" s="2">
        <f>IF(OR(O326="",B326=""),"—",IFERROR(INT(B326)-INT(O326),"—"))</f>
        <v/>
      </c>
      <c r="Q326" s="24">
        <f>IF(B326="","",TEXT(B326,"MMMM YYYY"))</f>
        <v/>
      </c>
    </row>
    <row r="327" ht="18" customHeight="1">
      <c r="A327" s="2">
        <f>IF(B327&lt;&gt;"",ROW()-2,"")</f>
        <v/>
      </c>
      <c r="P327" s="2">
        <f>IF(OR(O327="",B327=""),"—",IFERROR(INT(B327)-INT(O327),"—"))</f>
        <v/>
      </c>
      <c r="Q327" s="24">
        <f>IF(B327="","",TEXT(B327,"MMMM YYYY"))</f>
        <v/>
      </c>
    </row>
    <row r="328" ht="18" customHeight="1">
      <c r="A328" s="2">
        <f>IF(B328&lt;&gt;"",ROW()-2,"")</f>
        <v/>
      </c>
      <c r="P328" s="2">
        <f>IF(OR(O328="",B328=""),"—",IFERROR(INT(B328)-INT(O328),"—"))</f>
        <v/>
      </c>
      <c r="Q328" s="24">
        <f>IF(B328="","",TEXT(B328,"MMMM YYYY"))</f>
        <v/>
      </c>
    </row>
    <row r="329" ht="18" customHeight="1">
      <c r="A329" s="2">
        <f>IF(B329&lt;&gt;"",ROW()-2,"")</f>
        <v/>
      </c>
      <c r="P329" s="2">
        <f>IF(OR(O329="",B329=""),"—",IFERROR(INT(B329)-INT(O329),"—"))</f>
        <v/>
      </c>
      <c r="Q329" s="24">
        <f>IF(B329="","",TEXT(B329,"MMMM YYYY"))</f>
        <v/>
      </c>
    </row>
    <row r="330" ht="18" customHeight="1">
      <c r="A330" s="2">
        <f>IF(B330&lt;&gt;"",ROW()-2,"")</f>
        <v/>
      </c>
      <c r="P330" s="2">
        <f>IF(OR(O330="",B330=""),"—",IFERROR(INT(B330)-INT(O330),"—"))</f>
        <v/>
      </c>
      <c r="Q330" s="24">
        <f>IF(B330="","",TEXT(B330,"MMMM YYYY"))</f>
        <v/>
      </c>
    </row>
    <row r="331" ht="18" customHeight="1">
      <c r="A331" s="2">
        <f>IF(B331&lt;&gt;"",ROW()-2,"")</f>
        <v/>
      </c>
      <c r="P331" s="2">
        <f>IF(OR(O331="",B331=""),"—",IFERROR(INT(B331)-INT(O331),"—"))</f>
        <v/>
      </c>
      <c r="Q331" s="24">
        <f>IF(B331="","",TEXT(B331,"MMMM YYYY"))</f>
        <v/>
      </c>
    </row>
    <row r="332" ht="18" customHeight="1">
      <c r="A332" s="2">
        <f>IF(B332&lt;&gt;"",ROW()-2,"")</f>
        <v/>
      </c>
      <c r="P332" s="2">
        <f>IF(OR(O332="",B332=""),"—",IFERROR(INT(B332)-INT(O332),"—"))</f>
        <v/>
      </c>
      <c r="Q332" s="24">
        <f>IF(B332="","",TEXT(B332,"MMMM YYYY"))</f>
        <v/>
      </c>
    </row>
    <row r="333" ht="18" customHeight="1">
      <c r="A333" s="2">
        <f>IF(B333&lt;&gt;"",ROW()-2,"")</f>
        <v/>
      </c>
      <c r="P333" s="2">
        <f>IF(OR(O333="",B333=""),"—",IFERROR(INT(B333)-INT(O333),"—"))</f>
        <v/>
      </c>
      <c r="Q333" s="24">
        <f>IF(B333="","",TEXT(B333,"MMMM YYYY"))</f>
        <v/>
      </c>
    </row>
    <row r="334" ht="18" customHeight="1">
      <c r="A334" s="2">
        <f>IF(B334&lt;&gt;"",ROW()-2,"")</f>
        <v/>
      </c>
      <c r="P334" s="2">
        <f>IF(OR(O334="",B334=""),"—",IFERROR(INT(B334)-INT(O334),"—"))</f>
        <v/>
      </c>
      <c r="Q334" s="24">
        <f>IF(B334="","",TEXT(B334,"MMMM YYYY"))</f>
        <v/>
      </c>
    </row>
    <row r="335" ht="18" customHeight="1">
      <c r="A335" s="2">
        <f>IF(B335&lt;&gt;"",ROW()-2,"")</f>
        <v/>
      </c>
      <c r="P335" s="2">
        <f>IF(OR(O335="",B335=""),"—",IFERROR(INT(B335)-INT(O335),"—"))</f>
        <v/>
      </c>
      <c r="Q335" s="24">
        <f>IF(B335="","",TEXT(B335,"MMMM YYYY"))</f>
        <v/>
      </c>
    </row>
    <row r="336" ht="18" customHeight="1">
      <c r="A336" s="2">
        <f>IF(B336&lt;&gt;"",ROW()-2,"")</f>
        <v/>
      </c>
      <c r="P336" s="2">
        <f>IF(OR(O336="",B336=""),"—",IFERROR(INT(B336)-INT(O336),"—"))</f>
        <v/>
      </c>
      <c r="Q336" s="24">
        <f>IF(B336="","",TEXT(B336,"MMMM YYYY"))</f>
        <v/>
      </c>
    </row>
    <row r="337" ht="18" customHeight="1">
      <c r="A337" s="2">
        <f>IF(B337&lt;&gt;"",ROW()-2,"")</f>
        <v/>
      </c>
      <c r="P337" s="2">
        <f>IF(OR(O337="",B337=""),"—",IFERROR(INT(B337)-INT(O337),"—"))</f>
        <v/>
      </c>
      <c r="Q337" s="24">
        <f>IF(B337="","",TEXT(B337,"MMMM YYYY"))</f>
        <v/>
      </c>
    </row>
    <row r="338" ht="18" customHeight="1">
      <c r="A338" s="2">
        <f>IF(B338&lt;&gt;"",ROW()-2,"")</f>
        <v/>
      </c>
      <c r="P338" s="2">
        <f>IF(OR(O338="",B338=""),"—",IFERROR(INT(B338)-INT(O338),"—"))</f>
        <v/>
      </c>
      <c r="Q338" s="24">
        <f>IF(B338="","",TEXT(B338,"MMMM YYYY"))</f>
        <v/>
      </c>
    </row>
    <row r="339" ht="18" customHeight="1">
      <c r="A339" s="2">
        <f>IF(B339&lt;&gt;"",ROW()-2,"")</f>
        <v/>
      </c>
      <c r="P339" s="2">
        <f>IF(OR(O339="",B339=""),"—",IFERROR(INT(B339)-INT(O339),"—"))</f>
        <v/>
      </c>
      <c r="Q339" s="24">
        <f>IF(B339="","",TEXT(B339,"MMMM YYYY"))</f>
        <v/>
      </c>
    </row>
    <row r="340" ht="18" customHeight="1">
      <c r="A340" s="2">
        <f>IF(B340&lt;&gt;"",ROW()-2,"")</f>
        <v/>
      </c>
      <c r="P340" s="2">
        <f>IF(OR(O340="",B340=""),"—",IFERROR(INT(B340)-INT(O340),"—"))</f>
        <v/>
      </c>
      <c r="Q340" s="24">
        <f>IF(B340="","",TEXT(B340,"MMMM YYYY"))</f>
        <v/>
      </c>
    </row>
    <row r="341" ht="18" customHeight="1">
      <c r="A341" s="2">
        <f>IF(B341&lt;&gt;"",ROW()-2,"")</f>
        <v/>
      </c>
      <c r="P341" s="2">
        <f>IF(OR(O341="",B341=""),"—",IFERROR(INT(B341)-INT(O341),"—"))</f>
        <v/>
      </c>
      <c r="Q341" s="24">
        <f>IF(B341="","",TEXT(B341,"MMMM YYYY"))</f>
        <v/>
      </c>
    </row>
    <row r="342" ht="18" customHeight="1">
      <c r="A342" s="2">
        <f>IF(B342&lt;&gt;"",ROW()-2,"")</f>
        <v/>
      </c>
      <c r="P342" s="2">
        <f>IF(OR(O342="",B342=""),"—",IFERROR(INT(B342)-INT(O342),"—"))</f>
        <v/>
      </c>
      <c r="Q342" s="24">
        <f>IF(B342="","",TEXT(B342,"MMMM YYYY"))</f>
        <v/>
      </c>
    </row>
    <row r="343" ht="18" customHeight="1">
      <c r="A343" s="2">
        <f>IF(B343&lt;&gt;"",ROW()-2,"")</f>
        <v/>
      </c>
      <c r="P343" s="2">
        <f>IF(OR(O343="",B343=""),"—",IFERROR(INT(B343)-INT(O343),"—"))</f>
        <v/>
      </c>
      <c r="Q343" s="24">
        <f>IF(B343="","",TEXT(B343,"MMMM YYYY"))</f>
        <v/>
      </c>
    </row>
    <row r="344" ht="18" customHeight="1">
      <c r="A344" s="2">
        <f>IF(B344&lt;&gt;"",ROW()-2,"")</f>
        <v/>
      </c>
      <c r="P344" s="2">
        <f>IF(OR(O344="",B344=""),"—",IFERROR(INT(B344)-INT(O344),"—"))</f>
        <v/>
      </c>
      <c r="Q344" s="24">
        <f>IF(B344="","",TEXT(B344,"MMMM YYYY"))</f>
        <v/>
      </c>
    </row>
    <row r="345" ht="18" customHeight="1">
      <c r="A345" s="2">
        <f>IF(B345&lt;&gt;"",ROW()-2,"")</f>
        <v/>
      </c>
      <c r="P345" s="2">
        <f>IF(OR(O345="",B345=""),"—",IFERROR(INT(B345)-INT(O345),"—"))</f>
        <v/>
      </c>
      <c r="Q345" s="24">
        <f>IF(B345="","",TEXT(B345,"MMMM YYYY"))</f>
        <v/>
      </c>
    </row>
    <row r="346" ht="18" customHeight="1">
      <c r="A346" s="2">
        <f>IF(B346&lt;&gt;"",ROW()-2,"")</f>
        <v/>
      </c>
      <c r="P346" s="2">
        <f>IF(OR(O346="",B346=""),"—",IFERROR(INT(B346)-INT(O346),"—"))</f>
        <v/>
      </c>
      <c r="Q346" s="24">
        <f>IF(B346="","",TEXT(B346,"MMMM YYYY"))</f>
        <v/>
      </c>
    </row>
    <row r="347" ht="18" customHeight="1">
      <c r="A347" s="2">
        <f>IF(B347&lt;&gt;"",ROW()-2,"")</f>
        <v/>
      </c>
      <c r="P347" s="2">
        <f>IF(OR(O347="",B347=""),"—",IFERROR(INT(B347)-INT(O347),"—"))</f>
        <v/>
      </c>
      <c r="Q347" s="24">
        <f>IF(B347="","",TEXT(B347,"MMMM YYYY"))</f>
        <v/>
      </c>
    </row>
    <row r="348" ht="18" customHeight="1">
      <c r="A348" s="2">
        <f>IF(B348&lt;&gt;"",ROW()-2,"")</f>
        <v/>
      </c>
      <c r="P348" s="2">
        <f>IF(OR(O348="",B348=""),"—",IFERROR(INT(B348)-INT(O348),"—"))</f>
        <v/>
      </c>
      <c r="Q348" s="24">
        <f>IF(B348="","",TEXT(B348,"MMMM YYYY"))</f>
        <v/>
      </c>
    </row>
    <row r="349" ht="18" customHeight="1">
      <c r="A349" s="2">
        <f>IF(B349&lt;&gt;"",ROW()-2,"")</f>
        <v/>
      </c>
      <c r="P349" s="2">
        <f>IF(OR(O349="",B349=""),"—",IFERROR(INT(B349)-INT(O349),"—"))</f>
        <v/>
      </c>
      <c r="Q349" s="24">
        <f>IF(B349="","",TEXT(B349,"MMMM YYYY"))</f>
        <v/>
      </c>
    </row>
    <row r="350" ht="18" customHeight="1">
      <c r="A350" s="2">
        <f>IF(B350&lt;&gt;"",ROW()-2,"")</f>
        <v/>
      </c>
      <c r="P350" s="2">
        <f>IF(OR(O350="",B350=""),"—",IFERROR(INT(B350)-INT(O350),"—"))</f>
        <v/>
      </c>
      <c r="Q350" s="24">
        <f>IF(B350="","",TEXT(B350,"MMMM YYYY"))</f>
        <v/>
      </c>
    </row>
    <row r="351" ht="18" customHeight="1">
      <c r="A351" s="2">
        <f>IF(B351&lt;&gt;"",ROW()-2,"")</f>
        <v/>
      </c>
      <c r="P351" s="2">
        <f>IF(OR(O351="",B351=""),"—",IFERROR(INT(B351)-INT(O351),"—"))</f>
        <v/>
      </c>
      <c r="Q351" s="24">
        <f>IF(B351="","",TEXT(B351,"MMMM YYYY"))</f>
        <v/>
      </c>
    </row>
    <row r="352" ht="18" customHeight="1">
      <c r="A352" s="2">
        <f>IF(B352&lt;&gt;"",ROW()-2,"")</f>
        <v/>
      </c>
      <c r="P352" s="2">
        <f>IF(OR(O352="",B352=""),"—",IFERROR(INT(B352)-INT(O352),"—"))</f>
        <v/>
      </c>
      <c r="Q352" s="24">
        <f>IF(B352="","",TEXT(B352,"MMMM YYYY"))</f>
        <v/>
      </c>
    </row>
    <row r="353" ht="18" customHeight="1">
      <c r="A353" s="2">
        <f>IF(B353&lt;&gt;"",ROW()-2,"")</f>
        <v/>
      </c>
      <c r="P353" s="2">
        <f>IF(OR(O353="",B353=""),"—",IFERROR(INT(B353)-INT(O353),"—"))</f>
        <v/>
      </c>
      <c r="Q353" s="24">
        <f>IF(B353="","",TEXT(B353,"MMMM YYYY"))</f>
        <v/>
      </c>
    </row>
    <row r="354" ht="18" customHeight="1">
      <c r="A354" s="2">
        <f>IF(B354&lt;&gt;"",ROW()-2,"")</f>
        <v/>
      </c>
      <c r="P354" s="2">
        <f>IF(OR(O354="",B354=""),"—",IFERROR(INT(B354)-INT(O354),"—"))</f>
        <v/>
      </c>
      <c r="Q354" s="24">
        <f>IF(B354="","",TEXT(B354,"MMMM YYYY"))</f>
        <v/>
      </c>
    </row>
    <row r="355" ht="18" customHeight="1">
      <c r="A355" s="2">
        <f>IF(B355&lt;&gt;"",ROW()-2,"")</f>
        <v/>
      </c>
      <c r="P355" s="2">
        <f>IF(OR(O355="",B355=""),"—",IFERROR(INT(B355)-INT(O355),"—"))</f>
        <v/>
      </c>
      <c r="Q355" s="24">
        <f>IF(B355="","",TEXT(B355,"MMMM YYYY"))</f>
        <v/>
      </c>
    </row>
    <row r="356" ht="18" customHeight="1">
      <c r="A356" s="2">
        <f>IF(B356&lt;&gt;"",ROW()-2,"")</f>
        <v/>
      </c>
      <c r="P356" s="2">
        <f>IF(OR(O356="",B356=""),"—",IFERROR(INT(B356)-INT(O356),"—"))</f>
        <v/>
      </c>
      <c r="Q356" s="24">
        <f>IF(B356="","",TEXT(B356,"MMMM YYYY"))</f>
        <v/>
      </c>
    </row>
    <row r="357" ht="18" customHeight="1">
      <c r="A357" s="2">
        <f>IF(B357&lt;&gt;"",ROW()-2,"")</f>
        <v/>
      </c>
      <c r="P357" s="2">
        <f>IF(OR(O357="",B357=""),"—",IFERROR(INT(B357)-INT(O357),"—"))</f>
        <v/>
      </c>
      <c r="Q357" s="24">
        <f>IF(B357="","",TEXT(B357,"MMMM YYYY"))</f>
        <v/>
      </c>
    </row>
    <row r="358" ht="18" customHeight="1">
      <c r="A358" s="2">
        <f>IF(B358&lt;&gt;"",ROW()-2,"")</f>
        <v/>
      </c>
      <c r="P358" s="2">
        <f>IF(OR(O358="",B358=""),"—",IFERROR(INT(B358)-INT(O358),"—"))</f>
        <v/>
      </c>
      <c r="Q358" s="24">
        <f>IF(B358="","",TEXT(B358,"MMMM YYYY"))</f>
        <v/>
      </c>
    </row>
    <row r="359" ht="18" customHeight="1">
      <c r="A359" s="2">
        <f>IF(B359&lt;&gt;"",ROW()-2,"")</f>
        <v/>
      </c>
      <c r="P359" s="2">
        <f>IF(OR(O359="",B359=""),"—",IFERROR(INT(B359)-INT(O359),"—"))</f>
        <v/>
      </c>
      <c r="Q359" s="24">
        <f>IF(B359="","",TEXT(B359,"MMMM YYYY"))</f>
        <v/>
      </c>
    </row>
    <row r="360" ht="18" customHeight="1">
      <c r="A360" s="2">
        <f>IF(B360&lt;&gt;"",ROW()-2,"")</f>
        <v/>
      </c>
      <c r="P360" s="2">
        <f>IF(OR(O360="",B360=""),"—",IFERROR(INT(B360)-INT(O360),"—"))</f>
        <v/>
      </c>
      <c r="Q360" s="24">
        <f>IF(B360="","",TEXT(B360,"MMMM YYYY"))</f>
        <v/>
      </c>
    </row>
    <row r="361" ht="18" customHeight="1">
      <c r="A361" s="2">
        <f>IF(B361&lt;&gt;"",ROW()-2,"")</f>
        <v/>
      </c>
      <c r="P361" s="2">
        <f>IF(OR(O361="",B361=""),"—",IFERROR(INT(B361)-INT(O361),"—"))</f>
        <v/>
      </c>
      <c r="Q361" s="24">
        <f>IF(B361="","",TEXT(B361,"MMMM YYYY"))</f>
        <v/>
      </c>
    </row>
    <row r="362" ht="18" customHeight="1">
      <c r="A362" s="2">
        <f>IF(B362&lt;&gt;"",ROW()-2,"")</f>
        <v/>
      </c>
      <c r="P362" s="2">
        <f>IF(OR(O362="",B362=""),"—",IFERROR(INT(B362)-INT(O362),"—"))</f>
        <v/>
      </c>
      <c r="Q362" s="24">
        <f>IF(B362="","",TEXT(B362,"MMMM YYYY"))</f>
        <v/>
      </c>
    </row>
    <row r="363" ht="18" customHeight="1">
      <c r="A363" s="2">
        <f>IF(B363&lt;&gt;"",ROW()-2,"")</f>
        <v/>
      </c>
      <c r="P363" s="2">
        <f>IF(OR(O363="",B363=""),"—",IFERROR(INT(B363)-INT(O363),"—"))</f>
        <v/>
      </c>
      <c r="Q363" s="24">
        <f>IF(B363="","",TEXT(B363,"MMMM YYYY"))</f>
        <v/>
      </c>
    </row>
    <row r="364" ht="18" customHeight="1">
      <c r="A364" s="2">
        <f>IF(B364&lt;&gt;"",ROW()-2,"")</f>
        <v/>
      </c>
      <c r="P364" s="2">
        <f>IF(OR(O364="",B364=""),"—",IFERROR(INT(B364)-INT(O364),"—"))</f>
        <v/>
      </c>
      <c r="Q364" s="24">
        <f>IF(B364="","",TEXT(B364,"MMMM YYYY"))</f>
        <v/>
      </c>
    </row>
    <row r="365" ht="18" customHeight="1">
      <c r="A365" s="2">
        <f>IF(B365&lt;&gt;"",ROW()-2,"")</f>
        <v/>
      </c>
      <c r="P365" s="2">
        <f>IF(OR(O365="",B365=""),"—",IFERROR(INT(B365)-INT(O365),"—"))</f>
        <v/>
      </c>
      <c r="Q365" s="24">
        <f>IF(B365="","",TEXT(B365,"MMMM YYYY"))</f>
        <v/>
      </c>
    </row>
    <row r="366" ht="18" customHeight="1">
      <c r="A366" s="2">
        <f>IF(B366&lt;&gt;"",ROW()-2,"")</f>
        <v/>
      </c>
      <c r="P366" s="2">
        <f>IF(OR(O366="",B366=""),"—",IFERROR(INT(B366)-INT(O366),"—"))</f>
        <v/>
      </c>
      <c r="Q366" s="24">
        <f>IF(B366="","",TEXT(B366,"MMMM YYYY"))</f>
        <v/>
      </c>
    </row>
    <row r="367" ht="18" customHeight="1">
      <c r="A367" s="2">
        <f>IF(B367&lt;&gt;"",ROW()-2,"")</f>
        <v/>
      </c>
      <c r="P367" s="2">
        <f>IF(OR(O367="",B367=""),"—",IFERROR(INT(B367)-INT(O367),"—"))</f>
        <v/>
      </c>
      <c r="Q367" s="24">
        <f>IF(B367="","",TEXT(B367,"MMMM YYYY"))</f>
        <v/>
      </c>
    </row>
    <row r="368" ht="18" customHeight="1">
      <c r="A368" s="2">
        <f>IF(B368&lt;&gt;"",ROW()-2,"")</f>
        <v/>
      </c>
      <c r="P368" s="2">
        <f>IF(OR(O368="",B368=""),"—",IFERROR(INT(B368)-INT(O368),"—"))</f>
        <v/>
      </c>
      <c r="Q368" s="24">
        <f>IF(B368="","",TEXT(B368,"MMMM YYYY"))</f>
        <v/>
      </c>
    </row>
    <row r="369" ht="18" customHeight="1">
      <c r="A369" s="2">
        <f>IF(B369&lt;&gt;"",ROW()-2,"")</f>
        <v/>
      </c>
      <c r="P369" s="2">
        <f>IF(OR(O369="",B369=""),"—",IFERROR(INT(B369)-INT(O369),"—"))</f>
        <v/>
      </c>
      <c r="Q369" s="24">
        <f>IF(B369="","",TEXT(B369,"MMMM YYYY"))</f>
        <v/>
      </c>
    </row>
    <row r="370" ht="18" customHeight="1">
      <c r="A370" s="2">
        <f>IF(B370&lt;&gt;"",ROW()-2,"")</f>
        <v/>
      </c>
      <c r="P370" s="2">
        <f>IF(OR(O370="",B370=""),"—",IFERROR(INT(B370)-INT(O370),"—"))</f>
        <v/>
      </c>
      <c r="Q370" s="24">
        <f>IF(B370="","",TEXT(B370,"MMMM YYYY"))</f>
        <v/>
      </c>
    </row>
    <row r="371" ht="18" customHeight="1">
      <c r="A371" s="2">
        <f>IF(B371&lt;&gt;"",ROW()-2,"")</f>
        <v/>
      </c>
      <c r="P371" s="2">
        <f>IF(OR(O371="",B371=""),"—",IFERROR(INT(B371)-INT(O371),"—"))</f>
        <v/>
      </c>
      <c r="Q371" s="24">
        <f>IF(B371="","",TEXT(B371,"MMMM YYYY"))</f>
        <v/>
      </c>
    </row>
    <row r="372" ht="18" customHeight="1">
      <c r="A372" s="2">
        <f>IF(B372&lt;&gt;"",ROW()-2,"")</f>
        <v/>
      </c>
      <c r="P372" s="2">
        <f>IF(OR(O372="",B372=""),"—",IFERROR(INT(B372)-INT(O372),"—"))</f>
        <v/>
      </c>
      <c r="Q372" s="24">
        <f>IF(B372="","",TEXT(B372,"MMMM YYYY"))</f>
        <v/>
      </c>
    </row>
    <row r="373" ht="18" customHeight="1">
      <c r="A373" s="2">
        <f>IF(B373&lt;&gt;"",ROW()-2,"")</f>
        <v/>
      </c>
      <c r="P373" s="2">
        <f>IF(OR(O373="",B373=""),"—",IFERROR(INT(B373)-INT(O373),"—"))</f>
        <v/>
      </c>
      <c r="Q373" s="24">
        <f>IF(B373="","",TEXT(B373,"MMMM YYYY"))</f>
        <v/>
      </c>
    </row>
    <row r="374" ht="18" customHeight="1">
      <c r="A374" s="2">
        <f>IF(B374&lt;&gt;"",ROW()-2,"")</f>
        <v/>
      </c>
      <c r="P374" s="2">
        <f>IF(OR(O374="",B374=""),"—",IFERROR(INT(B374)-INT(O374),"—"))</f>
        <v/>
      </c>
      <c r="Q374" s="24">
        <f>IF(B374="","",TEXT(B374,"MMMM YYYY"))</f>
        <v/>
      </c>
    </row>
    <row r="375" ht="18" customHeight="1">
      <c r="A375" s="2">
        <f>IF(B375&lt;&gt;"",ROW()-2,"")</f>
        <v/>
      </c>
      <c r="P375" s="2">
        <f>IF(OR(O375="",B375=""),"—",IFERROR(INT(B375)-INT(O375),"—"))</f>
        <v/>
      </c>
      <c r="Q375" s="24">
        <f>IF(B375="","",TEXT(B375,"MMMM YYYY"))</f>
        <v/>
      </c>
    </row>
    <row r="376" ht="18" customHeight="1">
      <c r="A376" s="2">
        <f>IF(B376&lt;&gt;"",ROW()-2,"")</f>
        <v/>
      </c>
      <c r="P376" s="2">
        <f>IF(OR(O376="",B376=""),"—",IFERROR(INT(B376)-INT(O376),"—"))</f>
        <v/>
      </c>
      <c r="Q376" s="24">
        <f>IF(B376="","",TEXT(B376,"MMMM YYYY"))</f>
        <v/>
      </c>
    </row>
    <row r="377" ht="18" customHeight="1">
      <c r="A377" s="2">
        <f>IF(B377&lt;&gt;"",ROW()-2,"")</f>
        <v/>
      </c>
      <c r="P377" s="2">
        <f>IF(OR(O377="",B377=""),"—",IFERROR(INT(B377)-INT(O377),"—"))</f>
        <v/>
      </c>
      <c r="Q377" s="24">
        <f>IF(B377="","",TEXT(B377,"MMMM YYYY"))</f>
        <v/>
      </c>
    </row>
    <row r="378" ht="18" customHeight="1">
      <c r="A378" s="2">
        <f>IF(B378&lt;&gt;"",ROW()-2,"")</f>
        <v/>
      </c>
      <c r="P378" s="2">
        <f>IF(OR(O378="",B378=""),"—",IFERROR(INT(B378)-INT(O378),"—"))</f>
        <v/>
      </c>
      <c r="Q378" s="24">
        <f>IF(B378="","",TEXT(B378,"MMMM YYYY"))</f>
        <v/>
      </c>
    </row>
    <row r="379" ht="18" customHeight="1">
      <c r="A379" s="2">
        <f>IF(B379&lt;&gt;"",ROW()-2,"")</f>
        <v/>
      </c>
      <c r="P379" s="2">
        <f>IF(OR(O379="",B379=""),"—",IFERROR(INT(B379)-INT(O379),"—"))</f>
        <v/>
      </c>
      <c r="Q379" s="24">
        <f>IF(B379="","",TEXT(B379,"MMMM YYYY"))</f>
        <v/>
      </c>
    </row>
    <row r="380" ht="18" customHeight="1">
      <c r="A380" s="2">
        <f>IF(B380&lt;&gt;"",ROW()-2,"")</f>
        <v/>
      </c>
      <c r="P380" s="2">
        <f>IF(OR(O380="",B380=""),"—",IFERROR(INT(B380)-INT(O380),"—"))</f>
        <v/>
      </c>
      <c r="Q380" s="24">
        <f>IF(B380="","",TEXT(B380,"MMMM YYYY"))</f>
        <v/>
      </c>
    </row>
    <row r="381" ht="18" customHeight="1">
      <c r="A381" s="2">
        <f>IF(B381&lt;&gt;"",ROW()-2,"")</f>
        <v/>
      </c>
      <c r="P381" s="2">
        <f>IF(OR(O381="",B381=""),"—",IFERROR(INT(B381)-INT(O381),"—"))</f>
        <v/>
      </c>
      <c r="Q381" s="24">
        <f>IF(B381="","",TEXT(B381,"MMMM YYYY"))</f>
        <v/>
      </c>
    </row>
    <row r="382" ht="18" customHeight="1">
      <c r="A382" s="2">
        <f>IF(B382&lt;&gt;"",ROW()-2,"")</f>
        <v/>
      </c>
      <c r="P382" s="2">
        <f>IF(OR(O382="",B382=""),"—",IFERROR(INT(B382)-INT(O382),"—"))</f>
        <v/>
      </c>
      <c r="Q382" s="24">
        <f>IF(B382="","",TEXT(B382,"MMMM YYYY"))</f>
        <v/>
      </c>
    </row>
    <row r="383" ht="18" customHeight="1">
      <c r="A383" s="2">
        <f>IF(B383&lt;&gt;"",ROW()-2,"")</f>
        <v/>
      </c>
      <c r="P383" s="2">
        <f>IF(OR(O383="",B383=""),"—",IFERROR(INT(B383)-INT(O383),"—"))</f>
        <v/>
      </c>
      <c r="Q383" s="24">
        <f>IF(B383="","",TEXT(B383,"MMMM YYYY"))</f>
        <v/>
      </c>
    </row>
    <row r="384" ht="18" customHeight="1">
      <c r="A384" s="2">
        <f>IF(B384&lt;&gt;"",ROW()-2,"")</f>
        <v/>
      </c>
      <c r="P384" s="2">
        <f>IF(OR(O384="",B384=""),"—",IFERROR(INT(B384)-INT(O384),"—"))</f>
        <v/>
      </c>
      <c r="Q384" s="24">
        <f>IF(B384="","",TEXT(B384,"MMMM YYYY"))</f>
        <v/>
      </c>
    </row>
    <row r="385" ht="18" customHeight="1">
      <c r="A385" s="2">
        <f>IF(B385&lt;&gt;"",ROW()-2,"")</f>
        <v/>
      </c>
      <c r="P385" s="2">
        <f>IF(OR(O385="",B385=""),"—",IFERROR(INT(B385)-INT(O385),"—"))</f>
        <v/>
      </c>
      <c r="Q385" s="24">
        <f>IF(B385="","",TEXT(B385,"MMMM YYYY"))</f>
        <v/>
      </c>
    </row>
    <row r="386" ht="18" customHeight="1">
      <c r="A386" s="2">
        <f>IF(B386&lt;&gt;"",ROW()-2,"")</f>
        <v/>
      </c>
      <c r="P386" s="2">
        <f>IF(OR(O386="",B386=""),"—",IFERROR(INT(B386)-INT(O386),"—"))</f>
        <v/>
      </c>
      <c r="Q386" s="24">
        <f>IF(B386="","",TEXT(B386,"MMMM YYYY"))</f>
        <v/>
      </c>
    </row>
    <row r="387" ht="18" customHeight="1">
      <c r="A387" s="2">
        <f>IF(B387&lt;&gt;"",ROW()-2,"")</f>
        <v/>
      </c>
      <c r="P387" s="2">
        <f>IF(OR(O387="",B387=""),"—",IFERROR(INT(B387)-INT(O387),"—"))</f>
        <v/>
      </c>
      <c r="Q387" s="24">
        <f>IF(B387="","",TEXT(B387,"MMMM YYYY"))</f>
        <v/>
      </c>
    </row>
    <row r="388" ht="18" customHeight="1">
      <c r="A388" s="2">
        <f>IF(B388&lt;&gt;"",ROW()-2,"")</f>
        <v/>
      </c>
      <c r="P388" s="2">
        <f>IF(OR(O388="",B388=""),"—",IFERROR(INT(B388)-INT(O388),"—"))</f>
        <v/>
      </c>
      <c r="Q388" s="24">
        <f>IF(B388="","",TEXT(B388,"MMMM YYYY"))</f>
        <v/>
      </c>
    </row>
    <row r="389" ht="18" customHeight="1">
      <c r="A389" s="2">
        <f>IF(B389&lt;&gt;"",ROW()-2,"")</f>
        <v/>
      </c>
      <c r="P389" s="2">
        <f>IF(OR(O389="",B389=""),"—",IFERROR(INT(B389)-INT(O389),"—"))</f>
        <v/>
      </c>
      <c r="Q389" s="24">
        <f>IF(B389="","",TEXT(B389,"MMMM YYYY"))</f>
        <v/>
      </c>
    </row>
    <row r="390" ht="18" customHeight="1">
      <c r="A390" s="2">
        <f>IF(B390&lt;&gt;"",ROW()-2,"")</f>
        <v/>
      </c>
      <c r="P390" s="2">
        <f>IF(OR(O390="",B390=""),"—",IFERROR(INT(B390)-INT(O390),"—"))</f>
        <v/>
      </c>
      <c r="Q390" s="24">
        <f>IF(B390="","",TEXT(B390,"MMMM YYYY"))</f>
        <v/>
      </c>
    </row>
    <row r="391" ht="18" customHeight="1">
      <c r="A391" s="2">
        <f>IF(B391&lt;&gt;"",ROW()-2,"")</f>
        <v/>
      </c>
      <c r="P391" s="2">
        <f>IF(OR(O391="",B391=""),"—",IFERROR(INT(B391)-INT(O391),"—"))</f>
        <v/>
      </c>
      <c r="Q391" s="24">
        <f>IF(B391="","",TEXT(B391,"MMMM YYYY"))</f>
        <v/>
      </c>
    </row>
    <row r="392" ht="18" customHeight="1">
      <c r="A392" s="2">
        <f>IF(B392&lt;&gt;"",ROW()-2,"")</f>
        <v/>
      </c>
      <c r="P392" s="2">
        <f>IF(OR(O392="",B392=""),"—",IFERROR(INT(B392)-INT(O392),"—"))</f>
        <v/>
      </c>
      <c r="Q392" s="24">
        <f>IF(B392="","",TEXT(B392,"MMMM YYYY"))</f>
        <v/>
      </c>
    </row>
    <row r="393" ht="18" customHeight="1">
      <c r="A393" s="2">
        <f>IF(B393&lt;&gt;"",ROW()-2,"")</f>
        <v/>
      </c>
      <c r="P393" s="2">
        <f>IF(OR(O393="",B393=""),"—",IFERROR(INT(B393)-INT(O393),"—"))</f>
        <v/>
      </c>
      <c r="Q393" s="24">
        <f>IF(B393="","",TEXT(B393,"MMMM YYYY"))</f>
        <v/>
      </c>
    </row>
    <row r="394" ht="18" customHeight="1">
      <c r="A394" s="2">
        <f>IF(B394&lt;&gt;"",ROW()-2,"")</f>
        <v/>
      </c>
      <c r="P394" s="2">
        <f>IF(OR(O394="",B394=""),"—",IFERROR(INT(B394)-INT(O394),"—"))</f>
        <v/>
      </c>
      <c r="Q394" s="24">
        <f>IF(B394="","",TEXT(B394,"MMMM YYYY"))</f>
        <v/>
      </c>
    </row>
    <row r="395" ht="18" customHeight="1">
      <c r="A395" s="2">
        <f>IF(B395&lt;&gt;"",ROW()-2,"")</f>
        <v/>
      </c>
      <c r="P395" s="2">
        <f>IF(OR(O395="",B395=""),"—",IFERROR(INT(B395)-INT(O395),"—"))</f>
        <v/>
      </c>
      <c r="Q395" s="24">
        <f>IF(B395="","",TEXT(B395,"MMMM YYYY"))</f>
        <v/>
      </c>
    </row>
    <row r="396" ht="18" customHeight="1">
      <c r="A396" s="2">
        <f>IF(B396&lt;&gt;"",ROW()-2,"")</f>
        <v/>
      </c>
      <c r="P396" s="2">
        <f>IF(OR(O396="",B396=""),"—",IFERROR(INT(B396)-INT(O396),"—"))</f>
        <v/>
      </c>
      <c r="Q396" s="24">
        <f>IF(B396="","",TEXT(B396,"MMMM YYYY"))</f>
        <v/>
      </c>
    </row>
    <row r="397" ht="18" customHeight="1">
      <c r="A397" s="2">
        <f>IF(B397&lt;&gt;"",ROW()-2,"")</f>
        <v/>
      </c>
      <c r="P397" s="2">
        <f>IF(OR(O397="",B397=""),"—",IFERROR(INT(B397)-INT(O397),"—"))</f>
        <v/>
      </c>
      <c r="Q397" s="24">
        <f>IF(B397="","",TEXT(B397,"MMMM YYYY"))</f>
        <v/>
      </c>
    </row>
    <row r="398" ht="18" customHeight="1">
      <c r="A398" s="2">
        <f>IF(B398&lt;&gt;"",ROW()-2,"")</f>
        <v/>
      </c>
      <c r="P398" s="2">
        <f>IF(OR(O398="",B398=""),"—",IFERROR(INT(B398)-INT(O398),"—"))</f>
        <v/>
      </c>
      <c r="Q398" s="24">
        <f>IF(B398="","",TEXT(B398,"MMMM YYYY"))</f>
        <v/>
      </c>
    </row>
    <row r="399" ht="18" customHeight="1">
      <c r="A399" s="2">
        <f>IF(B399&lt;&gt;"",ROW()-2,"")</f>
        <v/>
      </c>
      <c r="P399" s="2">
        <f>IF(OR(O399="",B399=""),"—",IFERROR(INT(B399)-INT(O399),"—"))</f>
        <v/>
      </c>
      <c r="Q399" s="24">
        <f>IF(B399="","",TEXT(B399,"MMMM YYYY"))</f>
        <v/>
      </c>
    </row>
    <row r="400" ht="18" customHeight="1">
      <c r="A400" s="2">
        <f>IF(B400&lt;&gt;"",ROW()-2,"")</f>
        <v/>
      </c>
      <c r="P400" s="2">
        <f>IF(OR(O400="",B400=""),"—",IFERROR(INT(B400)-INT(O400),"—"))</f>
        <v/>
      </c>
      <c r="Q400" s="24">
        <f>IF(B400="","",TEXT(B400,"MMMM YYYY"))</f>
        <v/>
      </c>
    </row>
    <row r="401" ht="18" customHeight="1">
      <c r="A401" s="2">
        <f>IF(B401&lt;&gt;"",ROW()-2,"")</f>
        <v/>
      </c>
      <c r="P401" s="2">
        <f>IF(OR(O401="",B401=""),"—",IFERROR(INT(B401)-INT(O401),"—"))</f>
        <v/>
      </c>
      <c r="Q401" s="24">
        <f>IF(B401="","",TEXT(B401,"MMMM YYYY"))</f>
        <v/>
      </c>
    </row>
    <row r="402" ht="18" customHeight="1">
      <c r="A402" s="2">
        <f>IF(B402&lt;&gt;"",ROW()-2,"")</f>
        <v/>
      </c>
      <c r="P402" s="2">
        <f>IF(OR(O402="",B402=""),"—",IFERROR(INT(B402)-INT(O402),"—"))</f>
        <v/>
      </c>
      <c r="Q402" s="24">
        <f>IF(B402="","",TEXT(B402,"MMMM YYYY"))</f>
        <v/>
      </c>
    </row>
    <row r="403" ht="18" customHeight="1">
      <c r="A403" s="2">
        <f>IF(B403&lt;&gt;"",ROW()-2,"")</f>
        <v/>
      </c>
      <c r="P403" s="2">
        <f>IF(OR(O403="",B403=""),"—",IFERROR(INT(B403)-INT(O403),"—"))</f>
        <v/>
      </c>
      <c r="Q403" s="24">
        <f>IF(B403="","",TEXT(B403,"MMMM YYYY"))</f>
        <v/>
      </c>
    </row>
    <row r="404" ht="18" customHeight="1">
      <c r="A404" s="2">
        <f>IF(B404&lt;&gt;"",ROW()-2,"")</f>
        <v/>
      </c>
      <c r="P404" s="2">
        <f>IF(OR(O404="",B404=""),"—",IFERROR(INT(B404)-INT(O404),"—"))</f>
        <v/>
      </c>
      <c r="Q404" s="24">
        <f>IF(B404="","",TEXT(B404,"MMMM YYYY"))</f>
        <v/>
      </c>
    </row>
    <row r="405" ht="18" customHeight="1">
      <c r="A405" s="2">
        <f>IF(B405&lt;&gt;"",ROW()-2,"")</f>
        <v/>
      </c>
      <c r="P405" s="2">
        <f>IF(OR(O405="",B405=""),"—",IFERROR(INT(B405)-INT(O405),"—"))</f>
        <v/>
      </c>
      <c r="Q405" s="24">
        <f>IF(B405="","",TEXT(B405,"MMMM YYYY"))</f>
        <v/>
      </c>
    </row>
    <row r="406" ht="18" customHeight="1">
      <c r="A406" s="2">
        <f>IF(B406&lt;&gt;"",ROW()-2,"")</f>
        <v/>
      </c>
      <c r="P406" s="2">
        <f>IF(OR(O406="",B406=""),"—",IFERROR(INT(B406)-INT(O406),"—"))</f>
        <v/>
      </c>
      <c r="Q406" s="24">
        <f>IF(B406="","",TEXT(B406,"MMMM YYYY"))</f>
        <v/>
      </c>
    </row>
    <row r="407" ht="18" customHeight="1">
      <c r="A407" s="2">
        <f>IF(B407&lt;&gt;"",ROW()-2,"")</f>
        <v/>
      </c>
      <c r="P407" s="2">
        <f>IF(OR(O407="",B407=""),"—",IFERROR(INT(B407)-INT(O407),"—"))</f>
        <v/>
      </c>
      <c r="Q407" s="24">
        <f>IF(B407="","",TEXT(B407,"MMMM YYYY"))</f>
        <v/>
      </c>
    </row>
    <row r="408" ht="18" customHeight="1">
      <c r="A408" s="2">
        <f>IF(B408&lt;&gt;"",ROW()-2,"")</f>
        <v/>
      </c>
      <c r="P408" s="2">
        <f>IF(OR(O408="",B408=""),"—",IFERROR(INT(B408)-INT(O408),"—"))</f>
        <v/>
      </c>
      <c r="Q408" s="24">
        <f>IF(B408="","",TEXT(B408,"MMMM YYYY"))</f>
        <v/>
      </c>
    </row>
    <row r="409" ht="18" customHeight="1">
      <c r="A409" s="2">
        <f>IF(B409&lt;&gt;"",ROW()-2,"")</f>
        <v/>
      </c>
      <c r="P409" s="2">
        <f>IF(OR(O409="",B409=""),"—",IFERROR(INT(B409)-INT(O409),"—"))</f>
        <v/>
      </c>
      <c r="Q409" s="24">
        <f>IF(B409="","",TEXT(B409,"MMMM YYYY"))</f>
        <v/>
      </c>
    </row>
    <row r="410" ht="18" customHeight="1">
      <c r="A410" s="2">
        <f>IF(B410&lt;&gt;"",ROW()-2,"")</f>
        <v/>
      </c>
      <c r="P410" s="2">
        <f>IF(OR(O410="",B410=""),"—",IFERROR(INT(B410)-INT(O410),"—"))</f>
        <v/>
      </c>
      <c r="Q410" s="24">
        <f>IF(B410="","",TEXT(B410,"MMMM YYYY"))</f>
        <v/>
      </c>
    </row>
    <row r="411" ht="18" customHeight="1">
      <c r="A411" s="2">
        <f>IF(B411&lt;&gt;"",ROW()-2,"")</f>
        <v/>
      </c>
      <c r="P411" s="2">
        <f>IF(OR(O411="",B411=""),"—",IFERROR(INT(B411)-INT(O411),"—"))</f>
        <v/>
      </c>
      <c r="Q411" s="24">
        <f>IF(B411="","",TEXT(B411,"MMMM YYYY"))</f>
        <v/>
      </c>
    </row>
    <row r="412" ht="18" customHeight="1">
      <c r="A412" s="2">
        <f>IF(B412&lt;&gt;"",ROW()-2,"")</f>
        <v/>
      </c>
      <c r="P412" s="2">
        <f>IF(OR(O412="",B412=""),"—",IFERROR(INT(B412)-INT(O412),"—"))</f>
        <v/>
      </c>
      <c r="Q412" s="24">
        <f>IF(B412="","",TEXT(B412,"MMMM YYYY"))</f>
        <v/>
      </c>
    </row>
    <row r="413" ht="18" customHeight="1">
      <c r="A413" s="2">
        <f>IF(B413&lt;&gt;"",ROW()-2,"")</f>
        <v/>
      </c>
      <c r="P413" s="2">
        <f>IF(OR(O413="",B413=""),"—",IFERROR(INT(B413)-INT(O413),"—"))</f>
        <v/>
      </c>
      <c r="Q413" s="24">
        <f>IF(B413="","",TEXT(B413,"MMMM YYYY"))</f>
        <v/>
      </c>
    </row>
    <row r="414" ht="18" customHeight="1">
      <c r="A414" s="2">
        <f>IF(B414&lt;&gt;"",ROW()-2,"")</f>
        <v/>
      </c>
      <c r="P414" s="2">
        <f>IF(OR(O414="",B414=""),"—",IFERROR(INT(B414)-INT(O414),"—"))</f>
        <v/>
      </c>
      <c r="Q414" s="24">
        <f>IF(B414="","",TEXT(B414,"MMMM YYYY"))</f>
        <v/>
      </c>
    </row>
    <row r="415" ht="18" customHeight="1">
      <c r="A415" s="2">
        <f>IF(B415&lt;&gt;"",ROW()-2,"")</f>
        <v/>
      </c>
      <c r="P415" s="2">
        <f>IF(OR(O415="",B415=""),"—",IFERROR(INT(B415)-INT(O415),"—"))</f>
        <v/>
      </c>
      <c r="Q415" s="24">
        <f>IF(B415="","",TEXT(B415,"MMMM YYYY"))</f>
        <v/>
      </c>
    </row>
    <row r="416" ht="18" customHeight="1">
      <c r="A416" s="2">
        <f>IF(B416&lt;&gt;"",ROW()-2,"")</f>
        <v/>
      </c>
      <c r="P416" s="2">
        <f>IF(OR(O416="",B416=""),"—",IFERROR(INT(B416)-INT(O416),"—"))</f>
        <v/>
      </c>
      <c r="Q416" s="24">
        <f>IF(B416="","",TEXT(B416,"MMMM YYYY"))</f>
        <v/>
      </c>
    </row>
    <row r="417" ht="18" customHeight="1">
      <c r="A417" s="2">
        <f>IF(B417&lt;&gt;"",ROW()-2,"")</f>
        <v/>
      </c>
      <c r="P417" s="2">
        <f>IF(OR(O417="",B417=""),"—",IFERROR(INT(B417)-INT(O417),"—"))</f>
        <v/>
      </c>
      <c r="Q417" s="24">
        <f>IF(B417="","",TEXT(B417,"MMMM YYYY"))</f>
        <v/>
      </c>
    </row>
    <row r="418" ht="18" customHeight="1">
      <c r="A418" s="2">
        <f>IF(B418&lt;&gt;"",ROW()-2,"")</f>
        <v/>
      </c>
      <c r="P418" s="2">
        <f>IF(OR(O418="",B418=""),"—",IFERROR(INT(B418)-INT(O418),"—"))</f>
        <v/>
      </c>
      <c r="Q418" s="24">
        <f>IF(B418="","",TEXT(B418,"MMMM YYYY"))</f>
        <v/>
      </c>
    </row>
    <row r="419" ht="18" customHeight="1">
      <c r="A419" s="2">
        <f>IF(B419&lt;&gt;"",ROW()-2,"")</f>
        <v/>
      </c>
      <c r="P419" s="2">
        <f>IF(OR(O419="",B419=""),"—",IFERROR(INT(B419)-INT(O419),"—"))</f>
        <v/>
      </c>
      <c r="Q419" s="24">
        <f>IF(B419="","",TEXT(B419,"MMMM YYYY"))</f>
        <v/>
      </c>
    </row>
    <row r="420" ht="18" customHeight="1">
      <c r="A420" s="2">
        <f>IF(B420&lt;&gt;"",ROW()-2,"")</f>
        <v/>
      </c>
      <c r="P420" s="2">
        <f>IF(OR(O420="",B420=""),"—",IFERROR(INT(B420)-INT(O420),"—"))</f>
        <v/>
      </c>
      <c r="Q420" s="24">
        <f>IF(B420="","",TEXT(B420,"MMMM YYYY"))</f>
        <v/>
      </c>
    </row>
    <row r="421" ht="18" customHeight="1">
      <c r="A421" s="2">
        <f>IF(B421&lt;&gt;"",ROW()-2,"")</f>
        <v/>
      </c>
      <c r="P421" s="2">
        <f>IF(OR(O421="",B421=""),"—",IFERROR(INT(B421)-INT(O421),"—"))</f>
        <v/>
      </c>
      <c r="Q421" s="24">
        <f>IF(B421="","",TEXT(B421,"MMMM YYYY"))</f>
        <v/>
      </c>
    </row>
    <row r="422" ht="18" customHeight="1">
      <c r="A422" s="2">
        <f>IF(B422&lt;&gt;"",ROW()-2,"")</f>
        <v/>
      </c>
      <c r="P422" s="2">
        <f>IF(OR(O422="",B422=""),"—",IFERROR(INT(B422)-INT(O422),"—"))</f>
        <v/>
      </c>
      <c r="Q422" s="24">
        <f>IF(B422="","",TEXT(B422,"MMMM YYYY"))</f>
        <v/>
      </c>
    </row>
    <row r="423" ht="18" customHeight="1">
      <c r="A423" s="2">
        <f>IF(B423&lt;&gt;"",ROW()-2,"")</f>
        <v/>
      </c>
      <c r="P423" s="2">
        <f>IF(OR(O423="",B423=""),"—",IFERROR(INT(B423)-INT(O423),"—"))</f>
        <v/>
      </c>
      <c r="Q423" s="24">
        <f>IF(B423="","",TEXT(B423,"MMMM YYYY"))</f>
        <v/>
      </c>
    </row>
    <row r="424" ht="18" customHeight="1">
      <c r="A424" s="2">
        <f>IF(B424&lt;&gt;"",ROW()-2,"")</f>
        <v/>
      </c>
      <c r="P424" s="2">
        <f>IF(OR(O424="",B424=""),"—",IFERROR(INT(B424)-INT(O424),"—"))</f>
        <v/>
      </c>
      <c r="Q424" s="24">
        <f>IF(B424="","",TEXT(B424,"MMMM YYYY"))</f>
        <v/>
      </c>
    </row>
    <row r="425" ht="18" customHeight="1">
      <c r="A425" s="2">
        <f>IF(B425&lt;&gt;"",ROW()-2,"")</f>
        <v/>
      </c>
      <c r="P425" s="2">
        <f>IF(OR(O425="",B425=""),"—",IFERROR(INT(B425)-INT(O425),"—"))</f>
        <v/>
      </c>
      <c r="Q425" s="24">
        <f>IF(B425="","",TEXT(B425,"MMMM YYYY"))</f>
        <v/>
      </c>
    </row>
    <row r="426" ht="18" customHeight="1">
      <c r="A426" s="2">
        <f>IF(B426&lt;&gt;"",ROW()-2,"")</f>
        <v/>
      </c>
      <c r="P426" s="2">
        <f>IF(OR(O426="",B426=""),"—",IFERROR(INT(B426)-INT(O426),"—"))</f>
        <v/>
      </c>
      <c r="Q426" s="24">
        <f>IF(B426="","",TEXT(B426,"MMMM YYYY"))</f>
        <v/>
      </c>
    </row>
    <row r="427" ht="18" customHeight="1">
      <c r="A427" s="2">
        <f>IF(B427&lt;&gt;"",ROW()-2,"")</f>
        <v/>
      </c>
      <c r="P427" s="2">
        <f>IF(OR(O427="",B427=""),"—",IFERROR(INT(B427)-INT(O427),"—"))</f>
        <v/>
      </c>
      <c r="Q427" s="24">
        <f>IF(B427="","",TEXT(B427,"MMMM YYYY"))</f>
        <v/>
      </c>
    </row>
    <row r="428" ht="18" customHeight="1">
      <c r="A428" s="2">
        <f>IF(B428&lt;&gt;"",ROW()-2,"")</f>
        <v/>
      </c>
      <c r="P428" s="2">
        <f>IF(OR(O428="",B428=""),"—",IFERROR(INT(B428)-INT(O428),"—"))</f>
        <v/>
      </c>
      <c r="Q428" s="24">
        <f>IF(B428="","",TEXT(B428,"MMMM YYYY"))</f>
        <v/>
      </c>
    </row>
    <row r="429" ht="18" customHeight="1">
      <c r="A429" s="2">
        <f>IF(B429&lt;&gt;"",ROW()-2,"")</f>
        <v/>
      </c>
      <c r="P429" s="2">
        <f>IF(OR(O429="",B429=""),"—",IFERROR(INT(B429)-INT(O429),"—"))</f>
        <v/>
      </c>
      <c r="Q429" s="24">
        <f>IF(B429="","",TEXT(B429,"MMMM YYYY"))</f>
        <v/>
      </c>
    </row>
    <row r="430" ht="18" customHeight="1">
      <c r="A430" s="2">
        <f>IF(B430&lt;&gt;"",ROW()-2,"")</f>
        <v/>
      </c>
      <c r="P430" s="2">
        <f>IF(OR(O430="",B430=""),"—",IFERROR(INT(B430)-INT(O430),"—"))</f>
        <v/>
      </c>
      <c r="Q430" s="24">
        <f>IF(B430="","",TEXT(B430,"MMMM YYYY"))</f>
        <v/>
      </c>
    </row>
    <row r="431" ht="18" customHeight="1">
      <c r="A431" s="2">
        <f>IF(B431&lt;&gt;"",ROW()-2,"")</f>
        <v/>
      </c>
      <c r="P431" s="2">
        <f>IF(OR(O431="",B431=""),"—",IFERROR(INT(B431)-INT(O431),"—"))</f>
        <v/>
      </c>
      <c r="Q431" s="24">
        <f>IF(B431="","",TEXT(B431,"MMMM YYYY"))</f>
        <v/>
      </c>
    </row>
    <row r="432" ht="18" customHeight="1">
      <c r="A432" s="2">
        <f>IF(B432&lt;&gt;"",ROW()-2,"")</f>
        <v/>
      </c>
      <c r="P432" s="2">
        <f>IF(OR(O432="",B432=""),"—",IFERROR(INT(B432)-INT(O432),"—"))</f>
        <v/>
      </c>
      <c r="Q432" s="24">
        <f>IF(B432="","",TEXT(B432,"MMMM YYYY"))</f>
        <v/>
      </c>
    </row>
    <row r="433" ht="18" customHeight="1">
      <c r="A433" s="2">
        <f>IF(B433&lt;&gt;"",ROW()-2,"")</f>
        <v/>
      </c>
      <c r="P433" s="2">
        <f>IF(OR(O433="",B433=""),"—",IFERROR(INT(B433)-INT(O433),"—"))</f>
        <v/>
      </c>
      <c r="Q433" s="24">
        <f>IF(B433="","",TEXT(B433,"MMMM YYYY"))</f>
        <v/>
      </c>
    </row>
    <row r="434" ht="18" customHeight="1">
      <c r="A434" s="2">
        <f>IF(B434&lt;&gt;"",ROW()-2,"")</f>
        <v/>
      </c>
      <c r="P434" s="2">
        <f>IF(OR(O434="",B434=""),"—",IFERROR(INT(B434)-INT(O434),"—"))</f>
        <v/>
      </c>
      <c r="Q434" s="24">
        <f>IF(B434="","",TEXT(B434,"MMMM YYYY"))</f>
        <v/>
      </c>
    </row>
    <row r="435" ht="18" customHeight="1">
      <c r="A435" s="2">
        <f>IF(B435&lt;&gt;"",ROW()-2,"")</f>
        <v/>
      </c>
      <c r="P435" s="2">
        <f>IF(OR(O435="",B435=""),"—",IFERROR(INT(B435)-INT(O435),"—"))</f>
        <v/>
      </c>
      <c r="Q435" s="24">
        <f>IF(B435="","",TEXT(B435,"MMMM YYYY"))</f>
        <v/>
      </c>
    </row>
    <row r="436" ht="18" customHeight="1">
      <c r="A436" s="2">
        <f>IF(B436&lt;&gt;"",ROW()-2,"")</f>
        <v/>
      </c>
      <c r="P436" s="2">
        <f>IF(OR(O436="",B436=""),"—",IFERROR(INT(B436)-INT(O436),"—"))</f>
        <v/>
      </c>
      <c r="Q436" s="24">
        <f>IF(B436="","",TEXT(B436,"MMMM YYYY"))</f>
        <v/>
      </c>
    </row>
    <row r="437" ht="18" customHeight="1">
      <c r="A437" s="2">
        <f>IF(B437&lt;&gt;"",ROW()-2,"")</f>
        <v/>
      </c>
      <c r="P437" s="2">
        <f>IF(OR(O437="",B437=""),"—",IFERROR(INT(B437)-INT(O437),"—"))</f>
        <v/>
      </c>
      <c r="Q437" s="24">
        <f>IF(B437="","",TEXT(B437,"MMMM YYYY"))</f>
        <v/>
      </c>
    </row>
    <row r="438" ht="18" customHeight="1">
      <c r="A438" s="2">
        <f>IF(B438&lt;&gt;"",ROW()-2,"")</f>
        <v/>
      </c>
      <c r="P438" s="2">
        <f>IF(OR(O438="",B438=""),"—",IFERROR(INT(B438)-INT(O438),"—"))</f>
        <v/>
      </c>
      <c r="Q438" s="24">
        <f>IF(B438="","",TEXT(B438,"MMMM YYYY"))</f>
        <v/>
      </c>
    </row>
    <row r="439" ht="18" customHeight="1">
      <c r="A439" s="2">
        <f>IF(B439&lt;&gt;"",ROW()-2,"")</f>
        <v/>
      </c>
      <c r="P439" s="2">
        <f>IF(OR(O439="",B439=""),"—",IFERROR(INT(B439)-INT(O439),"—"))</f>
        <v/>
      </c>
      <c r="Q439" s="24">
        <f>IF(B439="","",TEXT(B439,"MMMM YYYY"))</f>
        <v/>
      </c>
    </row>
    <row r="440" ht="18" customHeight="1">
      <c r="A440" s="2">
        <f>IF(B440&lt;&gt;"",ROW()-2,"")</f>
        <v/>
      </c>
      <c r="P440" s="2">
        <f>IF(OR(O440="",B440=""),"—",IFERROR(INT(B440)-INT(O440),"—"))</f>
        <v/>
      </c>
      <c r="Q440" s="24">
        <f>IF(B440="","",TEXT(B440,"MMMM YYYY"))</f>
        <v/>
      </c>
    </row>
    <row r="441" ht="18" customHeight="1">
      <c r="A441" s="2">
        <f>IF(B441&lt;&gt;"",ROW()-2,"")</f>
        <v/>
      </c>
      <c r="P441" s="2">
        <f>IF(OR(O441="",B441=""),"—",IFERROR(INT(B441)-INT(O441),"—"))</f>
        <v/>
      </c>
      <c r="Q441" s="24">
        <f>IF(B441="","",TEXT(B441,"MMMM YYYY"))</f>
        <v/>
      </c>
    </row>
    <row r="442" ht="18" customHeight="1">
      <c r="A442" s="2">
        <f>IF(B442&lt;&gt;"",ROW()-2,"")</f>
        <v/>
      </c>
      <c r="P442" s="2">
        <f>IF(OR(O442="",B442=""),"—",IFERROR(INT(B442)-INT(O442),"—"))</f>
        <v/>
      </c>
      <c r="Q442" s="24">
        <f>IF(B442="","",TEXT(B442,"MMMM YYYY"))</f>
        <v/>
      </c>
    </row>
    <row r="443" ht="18" customHeight="1">
      <c r="A443" s="2">
        <f>IF(B443&lt;&gt;"",ROW()-2,"")</f>
        <v/>
      </c>
      <c r="P443" s="2">
        <f>IF(OR(O443="",B443=""),"—",IFERROR(INT(B443)-INT(O443),"—"))</f>
        <v/>
      </c>
      <c r="Q443" s="24">
        <f>IF(B443="","",TEXT(B443,"MMMM YYYY"))</f>
        <v/>
      </c>
    </row>
    <row r="444" ht="18" customHeight="1">
      <c r="A444" s="2">
        <f>IF(B444&lt;&gt;"",ROW()-2,"")</f>
        <v/>
      </c>
      <c r="P444" s="2">
        <f>IF(OR(O444="",B444=""),"—",IFERROR(INT(B444)-INT(O444),"—"))</f>
        <v/>
      </c>
      <c r="Q444" s="24">
        <f>IF(B444="","",TEXT(B444,"MMMM YYYY"))</f>
        <v/>
      </c>
    </row>
    <row r="445" ht="18" customHeight="1">
      <c r="A445" s="2">
        <f>IF(B445&lt;&gt;"",ROW()-2,"")</f>
        <v/>
      </c>
      <c r="P445" s="2">
        <f>IF(OR(O445="",B445=""),"—",IFERROR(INT(B445)-INT(O445),"—"))</f>
        <v/>
      </c>
      <c r="Q445" s="24">
        <f>IF(B445="","",TEXT(B445,"MMMM YYYY"))</f>
        <v/>
      </c>
    </row>
    <row r="446" ht="18" customHeight="1">
      <c r="A446" s="2">
        <f>IF(B446&lt;&gt;"",ROW()-2,"")</f>
        <v/>
      </c>
      <c r="P446" s="2">
        <f>IF(OR(O446="",B446=""),"—",IFERROR(INT(B446)-INT(O446),"—"))</f>
        <v/>
      </c>
      <c r="Q446" s="24">
        <f>IF(B446="","",TEXT(B446,"MMMM YYYY"))</f>
        <v/>
      </c>
    </row>
    <row r="447" ht="18" customHeight="1">
      <c r="A447" s="2">
        <f>IF(B447&lt;&gt;"",ROW()-2,"")</f>
        <v/>
      </c>
      <c r="P447" s="2">
        <f>IF(OR(O447="",B447=""),"—",IFERROR(INT(B447)-INT(O447),"—"))</f>
        <v/>
      </c>
      <c r="Q447" s="24">
        <f>IF(B447="","",TEXT(B447,"MMMM YYYY"))</f>
        <v/>
      </c>
    </row>
    <row r="448" ht="18" customHeight="1">
      <c r="A448" s="2">
        <f>IF(B448&lt;&gt;"",ROW()-2,"")</f>
        <v/>
      </c>
      <c r="P448" s="2">
        <f>IF(OR(O448="",B448=""),"—",IFERROR(INT(B448)-INT(O448),"—"))</f>
        <v/>
      </c>
      <c r="Q448" s="24">
        <f>IF(B448="","",TEXT(B448,"MMMM YYYY"))</f>
        <v/>
      </c>
    </row>
    <row r="449" ht="18" customHeight="1">
      <c r="A449" s="2">
        <f>IF(B449&lt;&gt;"",ROW()-2,"")</f>
        <v/>
      </c>
      <c r="P449" s="2">
        <f>IF(OR(O449="",B449=""),"—",IFERROR(INT(B449)-INT(O449),"—"))</f>
        <v/>
      </c>
      <c r="Q449" s="24">
        <f>IF(B449="","",TEXT(B449,"MMMM YYYY"))</f>
        <v/>
      </c>
    </row>
    <row r="450" ht="18" customHeight="1">
      <c r="A450" s="2">
        <f>IF(B450&lt;&gt;"",ROW()-2,"")</f>
        <v/>
      </c>
      <c r="P450" s="2">
        <f>IF(OR(O450="",B450=""),"—",IFERROR(INT(B450)-INT(O450),"—"))</f>
        <v/>
      </c>
      <c r="Q450" s="24">
        <f>IF(B450="","",TEXT(B450,"MMMM YYYY"))</f>
        <v/>
      </c>
    </row>
    <row r="451" ht="18" customHeight="1">
      <c r="A451" s="2">
        <f>IF(B451&lt;&gt;"",ROW()-2,"")</f>
        <v/>
      </c>
      <c r="P451" s="2">
        <f>IF(OR(O451="",B451=""),"—",IFERROR(INT(B451)-INT(O451),"—"))</f>
        <v/>
      </c>
      <c r="Q451" s="24">
        <f>IF(B451="","",TEXT(B451,"MMMM YYYY"))</f>
        <v/>
      </c>
    </row>
    <row r="452" ht="18" customHeight="1">
      <c r="A452" s="2">
        <f>IF(B452&lt;&gt;"",ROW()-2,"")</f>
        <v/>
      </c>
      <c r="P452" s="2">
        <f>IF(OR(O452="",B452=""),"—",IFERROR(INT(B452)-INT(O452),"—"))</f>
        <v/>
      </c>
      <c r="Q452" s="24">
        <f>IF(B452="","",TEXT(B452,"MMMM YYYY"))</f>
        <v/>
      </c>
    </row>
    <row r="453" ht="18" customHeight="1">
      <c r="A453" s="2">
        <f>IF(B453&lt;&gt;"",ROW()-2,"")</f>
        <v/>
      </c>
      <c r="P453" s="2">
        <f>IF(OR(O453="",B453=""),"—",IFERROR(INT(B453)-INT(O453),"—"))</f>
        <v/>
      </c>
      <c r="Q453" s="24">
        <f>IF(B453="","",TEXT(B453,"MMMM YYYY"))</f>
        <v/>
      </c>
    </row>
    <row r="454" ht="18" customHeight="1">
      <c r="A454" s="2">
        <f>IF(B454&lt;&gt;"",ROW()-2,"")</f>
        <v/>
      </c>
      <c r="P454" s="2">
        <f>IF(OR(O454="",B454=""),"—",IFERROR(INT(B454)-INT(O454),"—"))</f>
        <v/>
      </c>
      <c r="Q454" s="24">
        <f>IF(B454="","",TEXT(B454,"MMMM YYYY"))</f>
        <v/>
      </c>
    </row>
    <row r="455" ht="18" customHeight="1">
      <c r="A455" s="2">
        <f>IF(B455&lt;&gt;"",ROW()-2,"")</f>
        <v/>
      </c>
      <c r="P455" s="2">
        <f>IF(OR(O455="",B455=""),"—",IFERROR(INT(B455)-INT(O455),"—"))</f>
        <v/>
      </c>
      <c r="Q455" s="24">
        <f>IF(B455="","",TEXT(B455,"MMMM YYYY"))</f>
        <v/>
      </c>
    </row>
    <row r="456" ht="18" customHeight="1">
      <c r="A456" s="2">
        <f>IF(B456&lt;&gt;"",ROW()-2,"")</f>
        <v/>
      </c>
      <c r="P456" s="2">
        <f>IF(OR(O456="",B456=""),"—",IFERROR(INT(B456)-INT(O456),"—"))</f>
        <v/>
      </c>
      <c r="Q456" s="24">
        <f>IF(B456="","",TEXT(B456,"MMMM YYYY"))</f>
        <v/>
      </c>
    </row>
    <row r="457" ht="18" customHeight="1">
      <c r="A457" s="2">
        <f>IF(B457&lt;&gt;"",ROW()-2,"")</f>
        <v/>
      </c>
      <c r="P457" s="2">
        <f>IF(OR(O457="",B457=""),"—",IFERROR(INT(B457)-INT(O457),"—"))</f>
        <v/>
      </c>
      <c r="Q457" s="24">
        <f>IF(B457="","",TEXT(B457,"MMMM YYYY"))</f>
        <v/>
      </c>
    </row>
    <row r="458" ht="18" customHeight="1">
      <c r="A458" s="2">
        <f>IF(B458&lt;&gt;"",ROW()-2,"")</f>
        <v/>
      </c>
      <c r="P458" s="2">
        <f>IF(OR(O458="",B458=""),"—",IFERROR(INT(B458)-INT(O458),"—"))</f>
        <v/>
      </c>
      <c r="Q458" s="24">
        <f>IF(B458="","",TEXT(B458,"MMMM YYYY"))</f>
        <v/>
      </c>
    </row>
    <row r="459" ht="18" customHeight="1">
      <c r="A459" s="2">
        <f>IF(B459&lt;&gt;"",ROW()-2,"")</f>
        <v/>
      </c>
      <c r="P459" s="2">
        <f>IF(OR(O459="",B459=""),"—",IFERROR(INT(B459)-INT(O459),"—"))</f>
        <v/>
      </c>
      <c r="Q459" s="24">
        <f>IF(B459="","",TEXT(B459,"MMMM YYYY"))</f>
        <v/>
      </c>
    </row>
    <row r="460" ht="18" customHeight="1">
      <c r="A460" s="2">
        <f>IF(B460&lt;&gt;"",ROW()-2,"")</f>
        <v/>
      </c>
      <c r="P460" s="2">
        <f>IF(OR(O460="",B460=""),"—",IFERROR(INT(B460)-INT(O460),"—"))</f>
        <v/>
      </c>
      <c r="Q460" s="24">
        <f>IF(B460="","",TEXT(B460,"MMMM YYYY"))</f>
        <v/>
      </c>
    </row>
    <row r="461" ht="18" customHeight="1">
      <c r="A461" s="2">
        <f>IF(B461&lt;&gt;"",ROW()-2,"")</f>
        <v/>
      </c>
      <c r="P461" s="2">
        <f>IF(OR(O461="",B461=""),"—",IFERROR(INT(B461)-INT(O461),"—"))</f>
        <v/>
      </c>
      <c r="Q461" s="24">
        <f>IF(B461="","",TEXT(B461,"MMMM YYYY"))</f>
        <v/>
      </c>
    </row>
    <row r="462" ht="18" customHeight="1">
      <c r="A462" s="2">
        <f>IF(B462&lt;&gt;"",ROW()-2,"")</f>
        <v/>
      </c>
      <c r="P462" s="2">
        <f>IF(OR(O462="",B462=""),"—",IFERROR(INT(B462)-INT(O462),"—"))</f>
        <v/>
      </c>
      <c r="Q462" s="24">
        <f>IF(B462="","",TEXT(B462,"MMMM YYYY"))</f>
        <v/>
      </c>
    </row>
    <row r="463" ht="18" customHeight="1">
      <c r="A463" s="2">
        <f>IF(B463&lt;&gt;"",ROW()-2,"")</f>
        <v/>
      </c>
      <c r="P463" s="2">
        <f>IF(OR(O463="",B463=""),"—",IFERROR(INT(B463)-INT(O463),"—"))</f>
        <v/>
      </c>
      <c r="Q463" s="24">
        <f>IF(B463="","",TEXT(B463,"MMMM YYYY"))</f>
        <v/>
      </c>
    </row>
    <row r="464">
      <c r="A464" s="2">
        <f>IF(B464&lt;&gt;"",ROW()-2,"")</f>
        <v/>
      </c>
      <c r="P464" s="2">
        <f>IF(OR(O464="",B464=""),"—",IFERROR(INT(B464)-INT(O464),"—"))</f>
        <v/>
      </c>
      <c r="Q464" s="24">
        <f>IF(B464="","",TEXT(B464,"MMMM YYYY"))</f>
        <v/>
      </c>
    </row>
    <row r="465">
      <c r="A465" s="2">
        <f>IF(B465&lt;&gt;"",ROW()-2,"")</f>
        <v/>
      </c>
      <c r="P465" s="2">
        <f>IF(OR(O465="",B465=""),"—",IFERROR(INT(B465)-INT(O465),"—"))</f>
        <v/>
      </c>
      <c r="Q465" s="24">
        <f>IF(B465="","",TEXT(B465,"MMMM YYYY"))</f>
        <v/>
      </c>
    </row>
    <row r="466">
      <c r="A466" s="2">
        <f>IF(B466&lt;&gt;"",ROW()-2,"")</f>
        <v/>
      </c>
      <c r="P466" s="2">
        <f>IF(OR(O466="",B466=""),"—",IFERROR(INT(B466)-INT(O466),"—"))</f>
        <v/>
      </c>
      <c r="Q466" s="24">
        <f>IF(B466="","",TEXT(B466,"MMMM YYYY"))</f>
        <v/>
      </c>
    </row>
    <row r="467">
      <c r="A467" s="2">
        <f>IF(B467&lt;&gt;"",ROW()-2,"")</f>
        <v/>
      </c>
      <c r="P467" s="2">
        <f>IF(OR(O467="",B467=""),"—",IFERROR(INT(B467)-INT(O467),"—"))</f>
        <v/>
      </c>
      <c r="Q467" s="24">
        <f>IF(B467="","",TEXT(B467,"MMMM YYYY"))</f>
        <v/>
      </c>
    </row>
    <row r="468">
      <c r="A468" s="2">
        <f>IF(B468&lt;&gt;"",ROW()-2,"")</f>
        <v/>
      </c>
      <c r="P468" s="2">
        <f>IF(OR(O468="",B468=""),"—",IFERROR(INT(B468)-INT(O468),"—"))</f>
        <v/>
      </c>
      <c r="Q468" s="24">
        <f>IF(B468="","",TEXT(B468,"MMMM YYYY"))</f>
        <v/>
      </c>
    </row>
    <row r="469">
      <c r="A469" s="2">
        <f>IF(B469&lt;&gt;"",ROW()-2,"")</f>
        <v/>
      </c>
      <c r="P469" s="2">
        <f>IF(OR(O469="",B469=""),"—",IFERROR(INT(B469)-INT(O469),"—"))</f>
        <v/>
      </c>
      <c r="Q469" s="24">
        <f>IF(B469="","",TEXT(B469,"MMMM YYYY"))</f>
        <v/>
      </c>
    </row>
    <row r="470">
      <c r="A470" s="2">
        <f>IF(B470&lt;&gt;"",ROW()-2,"")</f>
        <v/>
      </c>
      <c r="P470" s="2">
        <f>IF(OR(O470="",B470=""),"—",IFERROR(INT(B470)-INT(O470),"—"))</f>
        <v/>
      </c>
      <c r="Q470" s="24">
        <f>IF(B470="","",TEXT(B470,"MMMM YYYY"))</f>
        <v/>
      </c>
    </row>
    <row r="471">
      <c r="A471" s="2">
        <f>IF(B471&lt;&gt;"",ROW()-2,"")</f>
        <v/>
      </c>
      <c r="P471" s="2">
        <f>IF(OR(O471="",B471=""),"—",IFERROR(INT(B471)-INT(O471),"—"))</f>
        <v/>
      </c>
      <c r="Q471" s="24">
        <f>IF(B471="","",TEXT(B471,"MMMM YYYY"))</f>
        <v/>
      </c>
    </row>
    <row r="472">
      <c r="A472" s="2">
        <f>IF(B472&lt;&gt;"",ROW()-2,"")</f>
        <v/>
      </c>
      <c r="P472" s="2">
        <f>IF(OR(O472="",B472=""),"—",IFERROR(INT(B472)-INT(O472),"—"))</f>
        <v/>
      </c>
      <c r="Q472" s="24">
        <f>IF(B472="","",TEXT(B472,"MMMM YYYY"))</f>
        <v/>
      </c>
    </row>
    <row r="473">
      <c r="A473" s="2">
        <f>IF(B473&lt;&gt;"",ROW()-2,"")</f>
        <v/>
      </c>
      <c r="P473" s="2">
        <f>IF(OR(O473="",B473=""),"—",IFERROR(INT(B473)-INT(O473),"—"))</f>
        <v/>
      </c>
      <c r="Q473" s="24">
        <f>IF(B473="","",TEXT(B473,"MMMM YYYY"))</f>
        <v/>
      </c>
    </row>
    <row r="474">
      <c r="A474" s="2">
        <f>IF(B474&lt;&gt;"",ROW()-2,"")</f>
        <v/>
      </c>
      <c r="P474" s="2">
        <f>IF(OR(O474="",B474=""),"—",IFERROR(INT(B474)-INT(O474),"—"))</f>
        <v/>
      </c>
      <c r="Q474" s="24">
        <f>IF(B474="","",TEXT(B474,"MMMM YYYY"))</f>
        <v/>
      </c>
    </row>
    <row r="475">
      <c r="A475" s="2">
        <f>IF(B475&lt;&gt;"",ROW()-2,"")</f>
        <v/>
      </c>
      <c r="P475" s="2">
        <f>IF(OR(O475="",B475=""),"—",IFERROR(INT(B475)-INT(O475),"—"))</f>
        <v/>
      </c>
      <c r="Q475" s="24">
        <f>IF(B475="","",TEXT(B475,"MMMM YYYY"))</f>
        <v/>
      </c>
    </row>
    <row r="476">
      <c r="A476" s="2">
        <f>IF(B476&lt;&gt;"",ROW()-2,"")</f>
        <v/>
      </c>
      <c r="P476" s="2">
        <f>IF(OR(O476="",B476=""),"—",IFERROR(INT(B476)-INT(O476),"—"))</f>
        <v/>
      </c>
      <c r="Q476" s="24">
        <f>IF(B476="","",TEXT(B476,"MMMM YYYY"))</f>
        <v/>
      </c>
    </row>
    <row r="477">
      <c r="A477" s="2">
        <f>IF(B477&lt;&gt;"",ROW()-2,"")</f>
        <v/>
      </c>
      <c r="P477" s="2">
        <f>IF(OR(O477="",B477=""),"—",IFERROR(INT(B477)-INT(O477),"—"))</f>
        <v/>
      </c>
      <c r="Q477" s="24">
        <f>IF(B477="","",TEXT(B477,"MMMM YYYY"))</f>
        <v/>
      </c>
    </row>
    <row r="478">
      <c r="A478" s="2">
        <f>IF(B478&lt;&gt;"",ROW()-2,"")</f>
        <v/>
      </c>
      <c r="P478" s="2">
        <f>IF(OR(O478="",B478=""),"—",IFERROR(INT(B478)-INT(O478),"—"))</f>
        <v/>
      </c>
      <c r="Q478" s="24">
        <f>IF(B478="","",TEXT(B478,"MMMM YYYY"))</f>
        <v/>
      </c>
    </row>
    <row r="479">
      <c r="A479" s="2">
        <f>IF(B479&lt;&gt;"",ROW()-2,"")</f>
        <v/>
      </c>
      <c r="P479" s="2">
        <f>IF(OR(O479="",B479=""),"—",IFERROR(INT(B479)-INT(O479),"—"))</f>
        <v/>
      </c>
      <c r="Q479" s="24">
        <f>IF(B479="","",TEXT(B479,"MMMM YYYY"))</f>
        <v/>
      </c>
    </row>
    <row r="480">
      <c r="A480" s="2">
        <f>IF(B480&lt;&gt;"",ROW()-2,"")</f>
        <v/>
      </c>
      <c r="P480" s="2">
        <f>IF(OR(O480="",B480=""),"—",IFERROR(INT(B480)-INT(O480),"—"))</f>
        <v/>
      </c>
      <c r="Q480" s="24">
        <f>IF(B480="","",TEXT(B480,"MMMM YYYY"))</f>
        <v/>
      </c>
    </row>
    <row r="481">
      <c r="A481" s="2">
        <f>IF(B481&lt;&gt;"",ROW()-2,"")</f>
        <v/>
      </c>
      <c r="P481" s="2">
        <f>IF(OR(O481="",B481=""),"—",IFERROR(INT(B481)-INT(O481),"—"))</f>
        <v/>
      </c>
      <c r="Q481" s="24">
        <f>IF(B481="","",TEXT(B481,"MMMM YYYY"))</f>
        <v/>
      </c>
    </row>
    <row r="482">
      <c r="A482" s="2">
        <f>IF(B482&lt;&gt;"",ROW()-2,"")</f>
        <v/>
      </c>
      <c r="P482" s="2">
        <f>IF(OR(O482="",B482=""),"—",IFERROR(INT(B482)-INT(O482),"—"))</f>
        <v/>
      </c>
      <c r="Q482" s="24">
        <f>IF(B482="","",TEXT(B482,"MMMM YYYY"))</f>
        <v/>
      </c>
    </row>
    <row r="483">
      <c r="A483" s="2">
        <f>IF(B483&lt;&gt;"",ROW()-2,"")</f>
        <v/>
      </c>
      <c r="P483" s="2">
        <f>IF(OR(O483="",B483=""),"—",IFERROR(INT(B483)-INT(O483),"—"))</f>
        <v/>
      </c>
      <c r="Q483" s="24">
        <f>IF(B483="","",TEXT(B483,"MMMM YYYY"))</f>
        <v/>
      </c>
    </row>
    <row r="484">
      <c r="A484" s="2">
        <f>IF(B484&lt;&gt;"",ROW()-2,"")</f>
        <v/>
      </c>
      <c r="P484" s="2">
        <f>IF(OR(O484="",B484=""),"—",IFERROR(INT(B484)-INT(O484),"—"))</f>
        <v/>
      </c>
      <c r="Q484" s="24">
        <f>IF(B484="","",TEXT(B484,"MMMM YYYY"))</f>
        <v/>
      </c>
    </row>
    <row r="485">
      <c r="A485" s="2">
        <f>IF(B485&lt;&gt;"",ROW()-2,"")</f>
        <v/>
      </c>
      <c r="P485" s="2">
        <f>IF(OR(O485="",B485=""),"—",IFERROR(INT(B485)-INT(O485),"—"))</f>
        <v/>
      </c>
      <c r="Q485" s="24">
        <f>IF(B485="","",TEXT(B485,"MMMM YYYY"))</f>
        <v/>
      </c>
    </row>
    <row r="486">
      <c r="A486" s="2">
        <f>IF(B486&lt;&gt;"",ROW()-2,"")</f>
        <v/>
      </c>
      <c r="P486" s="2">
        <f>IF(OR(O486="",B486=""),"—",IFERROR(INT(B486)-INT(O486),"—"))</f>
        <v/>
      </c>
      <c r="Q486" s="24">
        <f>IF(B486="","",TEXT(B486,"MMMM YYYY"))</f>
        <v/>
      </c>
    </row>
    <row r="487">
      <c r="A487" s="2">
        <f>IF(B487&lt;&gt;"",ROW()-2,"")</f>
        <v/>
      </c>
      <c r="P487" s="2">
        <f>IF(OR(O487="",B487=""),"—",IFERROR(INT(B487)-INT(O487),"—"))</f>
        <v/>
      </c>
      <c r="Q487" s="24">
        <f>IF(B487="","",TEXT(B487,"MMMM YYYY"))</f>
        <v/>
      </c>
    </row>
    <row r="488">
      <c r="A488" s="2">
        <f>IF(B488&lt;&gt;"",ROW()-2,"")</f>
        <v/>
      </c>
      <c r="P488" s="2">
        <f>IF(OR(O488="",B488=""),"—",IFERROR(INT(B488)-INT(O488),"—"))</f>
        <v/>
      </c>
      <c r="Q488" s="24">
        <f>IF(B488="","",TEXT(B488,"MMMM YYYY"))</f>
        <v/>
      </c>
    </row>
    <row r="489">
      <c r="A489" s="2">
        <f>IF(B489&lt;&gt;"",ROW()-2,"")</f>
        <v/>
      </c>
      <c r="P489" s="2">
        <f>IF(OR(O489="",B489=""),"—",IFERROR(INT(B489)-INT(O489),"—"))</f>
        <v/>
      </c>
      <c r="Q489" s="24">
        <f>IF(B489="","",TEXT(B489,"MMMM YYYY"))</f>
        <v/>
      </c>
    </row>
    <row r="490">
      <c r="A490" s="2">
        <f>IF(B490&lt;&gt;"",ROW()-2,"")</f>
        <v/>
      </c>
      <c r="P490" s="2">
        <f>IF(OR(O490="",B490=""),"—",IFERROR(INT(B490)-INT(O490),"—"))</f>
        <v/>
      </c>
      <c r="Q490" s="24">
        <f>IF(B490="","",TEXT(B490,"MMMM YYYY"))</f>
        <v/>
      </c>
    </row>
    <row r="491">
      <c r="A491" s="2">
        <f>IF(B491&lt;&gt;"",ROW()-2,"")</f>
        <v/>
      </c>
      <c r="P491" s="2">
        <f>IF(OR(O491="",B491=""),"—",IFERROR(INT(B491)-INT(O491),"—"))</f>
        <v/>
      </c>
      <c r="Q491" s="24">
        <f>IF(B491="","",TEXT(B491,"MMMM YYYY"))</f>
        <v/>
      </c>
    </row>
    <row r="492">
      <c r="A492" s="2">
        <f>IF(B492&lt;&gt;"",ROW()-2,"")</f>
        <v/>
      </c>
      <c r="P492" s="2">
        <f>IF(OR(O492="",B492=""),"—",IFERROR(INT(B492)-INT(O492),"—"))</f>
        <v/>
      </c>
      <c r="Q492" s="24">
        <f>IF(B492="","",TEXT(B492,"MMMM YYYY"))</f>
        <v/>
      </c>
    </row>
    <row r="493">
      <c r="A493" s="2">
        <f>IF(B493&lt;&gt;"",ROW()-2,"")</f>
        <v/>
      </c>
      <c r="P493" s="2">
        <f>IF(OR(O493="",B493=""),"—",IFERROR(INT(B493)-INT(O493),"—"))</f>
        <v/>
      </c>
      <c r="Q493" s="24">
        <f>IF(B493="","",TEXT(B493,"MMMM YYYY"))</f>
        <v/>
      </c>
    </row>
    <row r="494">
      <c r="A494" s="2">
        <f>IF(B494&lt;&gt;"",ROW()-2,"")</f>
        <v/>
      </c>
      <c r="P494" s="2">
        <f>IF(OR(O494="",B494=""),"—",IFERROR(INT(B494)-INT(O494),"—"))</f>
        <v/>
      </c>
      <c r="Q494" s="24">
        <f>IF(B494="","",TEXT(B494,"MMMM YYYY"))</f>
        <v/>
      </c>
    </row>
    <row r="495">
      <c r="A495" s="2">
        <f>IF(B495&lt;&gt;"",ROW()-2,"")</f>
        <v/>
      </c>
      <c r="P495" s="2">
        <f>IF(OR(O495="",B495=""),"—",IFERROR(INT(B495)-INT(O495),"—"))</f>
        <v/>
      </c>
      <c r="Q495" s="24">
        <f>IF(B495="","",TEXT(B495,"MMMM YYYY"))</f>
        <v/>
      </c>
    </row>
    <row r="496">
      <c r="A496" s="2">
        <f>IF(B496&lt;&gt;"",ROW()-2,"")</f>
        <v/>
      </c>
      <c r="P496" s="2">
        <f>IF(OR(O496="",B496=""),"—",IFERROR(INT(B496)-INT(O496),"—"))</f>
        <v/>
      </c>
      <c r="Q496" s="24">
        <f>IF(B496="","",TEXT(B496,"MMMM YYYY"))</f>
        <v/>
      </c>
    </row>
    <row r="497">
      <c r="A497" s="2">
        <f>IF(B497&lt;&gt;"",ROW()-2,"")</f>
        <v/>
      </c>
      <c r="P497" s="2">
        <f>IF(OR(O497="",B497=""),"—",IFERROR(INT(B497)-INT(O497),"—"))</f>
        <v/>
      </c>
      <c r="Q497" s="24">
        <f>IF(B497="","",TEXT(B497,"MMMM YYYY"))</f>
        <v/>
      </c>
    </row>
    <row r="498">
      <c r="A498" s="2">
        <f>IF(B498&lt;&gt;"",ROW()-2,"")</f>
        <v/>
      </c>
      <c r="P498" s="2">
        <f>IF(OR(O498="",B498=""),"—",IFERROR(INT(B498)-INT(O498),"—"))</f>
        <v/>
      </c>
      <c r="Q498" s="24">
        <f>IF(B498="","",TEXT(B498,"MMMM YYYY"))</f>
        <v/>
      </c>
    </row>
    <row r="499">
      <c r="A499" s="2">
        <f>IF(B499&lt;&gt;"",ROW()-2,"")</f>
        <v/>
      </c>
      <c r="P499" s="2">
        <f>IF(OR(O499="",B499=""),"—",IFERROR(INT(B499)-INT(O499),"—"))</f>
        <v/>
      </c>
      <c r="Q499" s="24">
        <f>IF(B499="","",TEXT(B499,"MMMM YYYY"))</f>
        <v/>
      </c>
    </row>
    <row r="500">
      <c r="A500" s="2">
        <f>IF(B500&lt;&gt;"",ROW()-2,"")</f>
        <v/>
      </c>
      <c r="P500" s="2">
        <f>IF(OR(O500="",B500=""),"—",IFERROR(INT(B500)-INT(O500),"—"))</f>
        <v/>
      </c>
      <c r="Q500" s="24">
        <f>IF(B500="","",TEXT(B500,"MMMM YYYY"))</f>
        <v/>
      </c>
    </row>
    <row r="501">
      <c r="A501" s="2">
        <f>IF(B501&lt;&gt;"",ROW()-2,"")</f>
        <v/>
      </c>
      <c r="P501" s="2">
        <f>IF(OR(O501="",B501=""),"—",IFERROR(INT(B501)-INT(O501),"—"))</f>
        <v/>
      </c>
      <c r="Q501" s="24">
        <f>IF(B501="","",TEXT(B501,"MMMM YYYY"))</f>
        <v/>
      </c>
    </row>
    <row r="502">
      <c r="A502" s="2">
        <f>IF(B502&lt;&gt;"",ROW()-2,"")</f>
        <v/>
      </c>
      <c r="P502" s="2">
        <f>IF(OR(O502="",B502=""),"—",IFERROR(INT(B502)-INT(O502),"—"))</f>
        <v/>
      </c>
      <c r="Q502" s="24">
        <f>IF(B502="","",TEXT(B502,"MMMM YYYY"))</f>
        <v/>
      </c>
    </row>
    <row r="503">
      <c r="A503" s="2">
        <f>IF(B503&lt;&gt;"",ROW()-2,"")</f>
        <v/>
      </c>
      <c r="P503" s="2">
        <f>IF(OR(O503="",B503=""),"—",IFERROR(INT(B503)-INT(O503),"—"))</f>
        <v/>
      </c>
      <c r="Q503" s="24">
        <f>IF(B503="","",TEXT(B503,"MMMM YYYY"))</f>
        <v/>
      </c>
    </row>
    <row r="504">
      <c r="A504" s="2">
        <f>IF(B504&lt;&gt;"",ROW()-2,"")</f>
        <v/>
      </c>
      <c r="P504" s="2">
        <f>IF(OR(O504="",B504=""),"—",IFERROR(INT(B504)-INT(O504),"—"))</f>
        <v/>
      </c>
      <c r="Q504" s="24">
        <f>IF(B504="","",TEXT(B504,"MMMM YYYY"))</f>
        <v/>
      </c>
    </row>
    <row r="505">
      <c r="A505" s="2">
        <f>IF(B505&lt;&gt;"",ROW()-2,"")</f>
        <v/>
      </c>
      <c r="P505" s="2">
        <f>IF(OR(O505="",B505=""),"—",IFERROR(INT(B505)-INT(O505),"—"))</f>
        <v/>
      </c>
      <c r="Q505" s="24">
        <f>IF(B505="","",TEXT(B505,"MMMM YYYY"))</f>
        <v/>
      </c>
    </row>
    <row r="506">
      <c r="A506" s="2">
        <f>IF(B506&lt;&gt;"",ROW()-2,"")</f>
        <v/>
      </c>
      <c r="P506" s="2">
        <f>IF(OR(O506="",B506=""),"—",IFERROR(INT(B506)-INT(O506),"—"))</f>
        <v/>
      </c>
      <c r="Q506" s="24">
        <f>IF(B506="","",TEXT(B506,"MMMM YYYY"))</f>
        <v/>
      </c>
    </row>
    <row r="507">
      <c r="A507" s="2">
        <f>IF(B507&lt;&gt;"",ROW()-2,"")</f>
        <v/>
      </c>
      <c r="P507" s="2">
        <f>IF(OR(O507="",B507=""),"—",IFERROR(INT(B507)-INT(O507),"—"))</f>
        <v/>
      </c>
      <c r="Q507" s="24">
        <f>IF(B507="","",TEXT(B507,"MMMM YYYY"))</f>
        <v/>
      </c>
    </row>
  </sheetData>
  <mergeCells count="1">
    <mergeCell ref="A1:R1"/>
  </mergeCells>
  <conditionalFormatting sqref="M3:M507">
    <cfRule type="cellIs" priority="2" operator="equal" dxfId="20">
      <formula>"Validé"</formula>
    </cfRule>
    <cfRule type="cellIs" priority="3" operator="equal" dxfId="19">
      <formula>"Refusé"</formula>
    </cfRule>
    <cfRule type="cellIs" priority="4" operator="equal" dxfId="18">
      <formula>"En attente"</formula>
    </cfRule>
  </conditionalFormatting>
  <dataValidations count="2">
    <dataValidation sqref="M3:M507" showDropDown="0" showInputMessage="0" showErrorMessage="0" allowBlank="1" type="list">
      <formula1>"À traiter,Validé,Refusé,En attente"</formula1>
      <formula2>0</formula2>
    </dataValidation>
    <dataValidation sqref="N1:N1048576" showDropDown="0" showInputMessage="1" showErrorMessage="1" allowBlank="1"/>
  </dataValidation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zoomScaleNormal="100" workbookViewId="0">
      <pane ySplit="2" topLeftCell="A3" activePane="bottomLeft" state="frozen"/>
      <selection pane="bottomLeft" activeCell="B21" sqref="B21"/>
    </sheetView>
  </sheetViews>
  <sheetFormatPr baseColWidth="8" defaultColWidth="8.7109375" defaultRowHeight="15"/>
  <cols>
    <col width="18" customWidth="1" min="1" max="1"/>
    <col width="16.140625" customWidth="1" min="2" max="2"/>
    <col width="13.140625" customWidth="1" min="3" max="3"/>
    <col width="18.28515625" customWidth="1" min="4" max="4"/>
    <col width="12" customWidth="1" min="5" max="5"/>
    <col width="18" customWidth="1" min="6" max="6"/>
    <col width="15.28515625" customWidth="1" min="7" max="7"/>
    <col width="18" customWidth="1" min="9" max="9"/>
    <col width="8" customWidth="1" min="10" max="10"/>
  </cols>
  <sheetData>
    <row r="1" ht="21.75" customHeight="1">
      <c r="A1" s="28" t="inlineStr">
        <is>
          <t>KAMPUS 137 — Jauge mensuelle des lots accordés</t>
        </is>
      </c>
    </row>
    <row r="2" ht="31.5" customHeight="1">
      <c r="A2" s="8" t="inlineStr">
        <is>
          <t>Mois</t>
        </is>
      </c>
      <c r="B2" s="9" t="inlineStr">
        <is>
          <t>Lots accordés</t>
        </is>
      </c>
      <c r="C2" s="9" t="inlineStr">
        <is>
          <t>Limite max</t>
        </is>
      </c>
      <c r="D2" s="9" t="inlineStr">
        <is>
          <t>Reste disponible</t>
        </is>
      </c>
      <c r="E2" s="9" t="inlineStr">
        <is>
          <t>% utilisé</t>
        </is>
      </c>
      <c r="F2" s="9" t="inlineStr">
        <is>
          <t>Statut</t>
        </is>
      </c>
      <c r="G2" s="12" t="inlineStr">
        <is>
          <t>Nb demandes</t>
        </is>
      </c>
      <c r="I2" s="3" t="inlineStr">
        <is>
          <t>Limite mensuelle :</t>
        </is>
      </c>
      <c r="J2" s="4" t="n">
        <v>40</v>
      </c>
    </row>
    <row r="3" ht="19.5" customHeight="1">
      <c r="A3" s="10" t="inlineStr">
        <is>
          <t>Janvier 2026</t>
        </is>
      </c>
      <c r="B3" s="2">
        <f>COUNTIFS('Demande de lots - 2026'!Q$3:Q$507,A3,'Demande de lots - 2026'!M$3:M$507,"Validé")*4</f>
        <v/>
      </c>
      <c r="C3" s="5">
        <f>$J$2</f>
        <v/>
      </c>
      <c r="D3" s="2">
        <f>C3-B3</f>
        <v/>
      </c>
      <c r="E3" s="6">
        <f>IF(C3&gt;0,B3/C3,0)</f>
        <v/>
      </c>
      <c r="F3" s="2">
        <f>IF(B3=0,"✅ Aucun lot",IF(B3&gt;=C3,"🔴 LIMITE ATTEINTE",IF(B3/C3&gt;=0.8,"🟠 Attention",IF(B3/C3&gt;=0.5,"🟡 En cours","🟢 Disponible"))))</f>
        <v/>
      </c>
      <c r="G3" s="11">
        <f>COUNTIFS('Demande de lots - 2026'!Q$3:Q$507,A3,'Demande de lots - 2026'!M$3:M$507,"Validé")</f>
        <v/>
      </c>
    </row>
    <row r="4" ht="19.5" customHeight="1">
      <c r="A4" s="10" t="inlineStr">
        <is>
          <t>Février 2026</t>
        </is>
      </c>
      <c r="B4" s="2">
        <f>COUNTIFS('Demande de lots - 2026'!Q$3:Q$507,A4,'Demande de lots - 2026'!M$3:M$507,"Validé")*4</f>
        <v/>
      </c>
      <c r="C4" s="5">
        <f>$J$2</f>
        <v/>
      </c>
      <c r="D4" s="2">
        <f>C4-B4</f>
        <v/>
      </c>
      <c r="E4" s="6">
        <f>IF(C4&gt;0,B4/C4,0)</f>
        <v/>
      </c>
      <c r="F4" s="2">
        <f>IF(B4=0,"✅ Aucun lot",IF(B4&gt;=C4,"🔴 LIMITE ATTEINTE",IF(B4/C4&gt;=0.8,"🟠 Attention",IF(B4/C4&gt;=0.5,"🟡 En cours","🟢 Disponible"))))</f>
        <v/>
      </c>
      <c r="G4" s="11">
        <f>COUNTIFS('Demande de lots - 2026'!Q$3:Q$507,A4,'Demande de lots - 2026'!M$3:M$507,"Validé")</f>
        <v/>
      </c>
    </row>
    <row r="5" ht="19.5" customHeight="1">
      <c r="A5" s="10" t="inlineStr">
        <is>
          <t>Mars 2026</t>
        </is>
      </c>
      <c r="B5" s="2">
        <f>COUNTIFS('Demande de lots - 2026'!Q$3:Q$507,A5,'Demande de lots - 2026'!M$3:M$507,"Validé")*4</f>
        <v/>
      </c>
      <c r="C5" s="5">
        <f>$J$2</f>
        <v/>
      </c>
      <c r="D5" s="2">
        <f>C5-B5</f>
        <v/>
      </c>
      <c r="E5" s="6">
        <f>IF(C5&gt;0,B5/C5,0)</f>
        <v/>
      </c>
      <c r="F5" s="2">
        <f>IF(B5=0,"✅ Aucun lot",IF(B5&gt;=C5,"🔴 LIMITE ATTEINTE",IF(B5/C5&gt;=0.8,"🟠 Attention",IF(B5/C5&gt;=0.5,"🟡 En cours","🟢 Disponible"))))</f>
        <v/>
      </c>
      <c r="G5" s="11">
        <f>COUNTIFS('Demande de lots - 2026'!Q$3:Q$507,A5,'Demande de lots - 2026'!M$3:M$507,"Validé")</f>
        <v/>
      </c>
    </row>
    <row r="6" ht="19.5" customHeight="1">
      <c r="A6" s="10" t="inlineStr">
        <is>
          <t>Avril 2026</t>
        </is>
      </c>
      <c r="B6" s="2">
        <f>COUNTIFS('Demande de lots - 2026'!Q$3:Q$507,A6,'Demande de lots - 2026'!M$3:M$507,"Validé")*4</f>
        <v/>
      </c>
      <c r="C6" s="5">
        <f>$J$2</f>
        <v/>
      </c>
      <c r="D6" s="2">
        <f>C6-B6</f>
        <v/>
      </c>
      <c r="E6" s="6">
        <f>IF(C6&gt;0,B6/C6,0)</f>
        <v/>
      </c>
      <c r="F6" s="2">
        <f>IF(B6=0,"✅ Aucun lot",IF(B6&gt;=C6,"🔴 LIMITE ATTEINTE",IF(B6/C6&gt;=0.8,"🟠 Attention",IF(B6/C6&gt;=0.5,"🟡 En cours","🟢 Disponible"))))</f>
        <v/>
      </c>
      <c r="G6" s="11">
        <f>COUNTIFS('Demande de lots - 2026'!Q$3:Q$507,A6,'Demande de lots - 2026'!M$3:M$507,"Validé")</f>
        <v/>
      </c>
    </row>
    <row r="7" ht="19.5" customHeight="1">
      <c r="A7" s="10" t="inlineStr">
        <is>
          <t>Mai 2026</t>
        </is>
      </c>
      <c r="B7" s="2">
        <f>COUNTIFS('Demande de lots - 2026'!Q$3:Q$507,A7,'Demande de lots - 2026'!M$3:M$507,"Validé")*4</f>
        <v/>
      </c>
      <c r="C7" s="5">
        <f>$J$2</f>
        <v/>
      </c>
      <c r="D7" s="2">
        <f>C7-B7</f>
        <v/>
      </c>
      <c r="E7" s="6">
        <f>IF(C7&gt;0,B7/C7,0)</f>
        <v/>
      </c>
      <c r="F7" s="2">
        <f>IF(B7=0,"✅ Aucun lot",IF(B7&gt;=C7,"🔴 LIMITE ATTEINTE",IF(B7/C7&gt;=0.8,"🟠 Attention",IF(B7/C7&gt;=0.5,"🟡 En cours","🟢 Disponible"))))</f>
        <v/>
      </c>
      <c r="G7" s="11">
        <f>COUNTIFS('Demande de lots - 2026'!Q$3:Q$507,A7,'Demande de lots - 2026'!M$3:M$507,"Validé")</f>
        <v/>
      </c>
    </row>
    <row r="8" ht="19.5" customHeight="1">
      <c r="A8" s="10" t="inlineStr">
        <is>
          <t>Juin 2026</t>
        </is>
      </c>
      <c r="B8" s="2">
        <f>COUNTIFS('Demande de lots - 2026'!Q$3:Q$507,A8,'Demande de lots - 2026'!M$3:M$507,"Validé")*4</f>
        <v/>
      </c>
      <c r="C8" s="5">
        <f>$J$2</f>
        <v/>
      </c>
      <c r="D8" s="2">
        <f>C8-B8</f>
        <v/>
      </c>
      <c r="E8" s="6">
        <f>IF(C8&gt;0,B8/C8,0)</f>
        <v/>
      </c>
      <c r="F8" s="2">
        <f>IF(B8=0,"✅ Aucun lot",IF(B8&gt;=C8,"🔴 LIMITE ATTEINTE",IF(B8/C8&gt;=0.8,"🟠 Attention",IF(B8/C8&gt;=0.5,"🟡 En cours","🟢 Disponible"))))</f>
        <v/>
      </c>
      <c r="G8" s="11">
        <f>COUNTIFS('Demande de lots - 2026'!Q$3:Q$507,A8,'Demande de lots - 2026'!M$3:M$507,"Validé")</f>
        <v/>
      </c>
    </row>
    <row r="9" ht="19.5" customHeight="1">
      <c r="A9" s="10" t="inlineStr">
        <is>
          <t>Juillet 2026</t>
        </is>
      </c>
      <c r="B9" s="2">
        <f>COUNTIFS('Demande de lots - 2026'!Q$3:Q$507,A9,'Demande de lots - 2026'!M$3:M$507,"Validé")*4</f>
        <v/>
      </c>
      <c r="C9" s="5">
        <f>$J$2</f>
        <v/>
      </c>
      <c r="D9" s="2">
        <f>C9-B9</f>
        <v/>
      </c>
      <c r="E9" s="6">
        <f>IF(C9&gt;0,B9/C9,0)</f>
        <v/>
      </c>
      <c r="F9" s="2">
        <f>IF(B9=0,"✅ Aucun lot",IF(B9&gt;=C9,"🔴 LIMITE ATTEINTE",IF(B9/C9&gt;=0.8,"🟠 Attention",IF(B9/C9&gt;=0.5,"🟡 En cours","🟢 Disponible"))))</f>
        <v/>
      </c>
      <c r="G9" s="11">
        <f>COUNTIFS('Demande de lots - 2026'!Q$3:Q$507,A9,'Demande de lots - 2026'!M$3:M$507,"Validé")</f>
        <v/>
      </c>
    </row>
    <row r="10" ht="19.5" customHeight="1">
      <c r="A10" s="10" t="inlineStr">
        <is>
          <t>Août 2026</t>
        </is>
      </c>
      <c r="B10" s="2">
        <f>COUNTIFS('Demande de lots - 2026'!Q$3:Q$507,A10,'Demande de lots - 2026'!M$3:M$507,"Validé")*4</f>
        <v/>
      </c>
      <c r="C10" s="5">
        <f>$J$2</f>
        <v/>
      </c>
      <c r="D10" s="2">
        <f>C10-B10</f>
        <v/>
      </c>
      <c r="E10" s="6">
        <f>IF(C10&gt;0,B10/C10,0)</f>
        <v/>
      </c>
      <c r="F10" s="2">
        <f>IF(B10=0,"✅ Aucun lot",IF(B10&gt;=C10,"🔴 LIMITE ATTEINTE",IF(B10/C10&gt;=0.8,"🟠 Attention",IF(B10/C10&gt;=0.5,"🟡 En cours","🟢 Disponible"))))</f>
        <v/>
      </c>
      <c r="G10" s="11">
        <f>COUNTIFS('Demande de lots - 2026'!Q$3:Q$507,A10,'Demande de lots - 2026'!M$3:M$507,"Validé")</f>
        <v/>
      </c>
    </row>
    <row r="11" ht="19.5" customHeight="1">
      <c r="A11" s="10" t="inlineStr">
        <is>
          <t>Septembre 2026</t>
        </is>
      </c>
      <c r="B11" s="2">
        <f>COUNTIFS('Demande de lots - 2026'!Q$3:Q$507,A11,'Demande de lots - 2026'!M$3:M$507,"Validé")*4</f>
        <v/>
      </c>
      <c r="C11" s="5">
        <f>$J$2</f>
        <v/>
      </c>
      <c r="D11" s="2">
        <f>C11-B11</f>
        <v/>
      </c>
      <c r="E11" s="6">
        <f>IF(C11&gt;0,B11/C11,0)</f>
        <v/>
      </c>
      <c r="F11" s="2">
        <f>IF(B11=0,"✅ Aucun lot",IF(B11&gt;=C11,"🔴 LIMITE ATTEINTE",IF(B11/C11&gt;=0.8,"🟠 Attention",IF(B11/C11&gt;=0.5,"🟡 En cours","🟢 Disponible"))))</f>
        <v/>
      </c>
      <c r="G11" s="11">
        <f>COUNTIFS('Demande de lots - 2026'!Q$3:Q$507,A11,'Demande de lots - 2026'!M$3:M$507,"Validé")</f>
        <v/>
      </c>
    </row>
    <row r="12" ht="19.5" customHeight="1">
      <c r="A12" s="10" t="inlineStr">
        <is>
          <t>Octobre 2026</t>
        </is>
      </c>
      <c r="B12" s="2">
        <f>COUNTIFS('Demande de lots - 2026'!Q$3:Q$507,A12,'Demande de lots - 2026'!M$3:M$507,"Validé")*4</f>
        <v/>
      </c>
      <c r="C12" s="5">
        <f>$J$2</f>
        <v/>
      </c>
      <c r="D12" s="2">
        <f>C12-B12</f>
        <v/>
      </c>
      <c r="E12" s="6">
        <f>IF(C12&gt;0,B12/C12,0)</f>
        <v/>
      </c>
      <c r="F12" s="2">
        <f>IF(B12=0,"✅ Aucun lot",IF(B12&gt;=C12,"🔴 LIMITE ATTEINTE",IF(B12/C12&gt;=0.8,"🟠 Attention",IF(B12/C12&gt;=0.5,"🟡 En cours","🟢 Disponible"))))</f>
        <v/>
      </c>
      <c r="G12" s="11">
        <f>COUNTIFS('Demande de lots - 2026'!Q$3:Q$507,A12,'Demande de lots - 2026'!M$3:M$507,"Validé")</f>
        <v/>
      </c>
    </row>
    <row r="13" ht="19.5" customHeight="1">
      <c r="A13" s="10" t="inlineStr">
        <is>
          <t>Novembre 2026</t>
        </is>
      </c>
      <c r="B13" s="2">
        <f>COUNTIFS('Demande de lots - 2026'!Q$3:Q$507,A13,'Demande de lots - 2026'!M$3:M$507,"Validé")*4</f>
        <v/>
      </c>
      <c r="C13" s="5">
        <f>$J$2</f>
        <v/>
      </c>
      <c r="D13" s="2">
        <f>C13-B13</f>
        <v/>
      </c>
      <c r="E13" s="6">
        <f>IF(C13&gt;0,B13/C13,0)</f>
        <v/>
      </c>
      <c r="F13" s="2">
        <f>IF(B13=0,"✅ Aucun lot",IF(B13&gt;=C13,"🔴 LIMITE ATTEINTE",IF(B13/C13&gt;=0.8,"🟠 Attention",IF(B13/C13&gt;=0.5,"🟡 En cours","🟢 Disponible"))))</f>
        <v/>
      </c>
      <c r="G13" s="11">
        <f>COUNTIFS('Demande de lots - 2026'!Q$3:Q$507,A13,'Demande de lots - 2026'!M$3:M$507,"Validé")</f>
        <v/>
      </c>
    </row>
    <row r="14" ht="19.5" customHeight="1">
      <c r="A14" s="10" t="inlineStr">
        <is>
          <t>Décembre 2026</t>
        </is>
      </c>
      <c r="B14" s="2">
        <f>COUNTIFS('Demande de lots - 2026'!Q$3:Q$507,A14,'Demande de lots - 2026'!M$3:M$507,"Validé")*4</f>
        <v/>
      </c>
      <c r="C14" s="5">
        <f>$J$2</f>
        <v/>
      </c>
      <c r="D14" s="2">
        <f>C14-B14</f>
        <v/>
      </c>
      <c r="E14" s="6">
        <f>IF(C14&gt;0,B14/C14,0)</f>
        <v/>
      </c>
      <c r="F14" s="2">
        <f>IF(B14=0,"✅ Aucun lot",IF(B14&gt;=C14,"🔴 LIMITE ATTEINTE",IF(B14/C14&gt;=0.8,"🟠 Attention",IF(B14/C14&gt;=0.5,"🟡 En cours","🟢 Disponible"))))</f>
        <v/>
      </c>
      <c r="G14" s="11">
        <f>COUNTIFS('Demande de lots - 2026'!Q$3:Q$507,A14,'Demande de lots - 2026'!M$3:M$507,"Validé")</f>
        <v/>
      </c>
    </row>
    <row r="15" ht="19.5" customHeight="1">
      <c r="A15" s="10" t="inlineStr">
        <is>
          <t>Janvier 2027</t>
        </is>
      </c>
      <c r="B15" s="2">
        <f>COUNTIFS('Demande de lots - 2026'!Q$3:Q$507,A15,'Demande de lots - 2026'!M$3:M$507,"Validé")*4</f>
        <v/>
      </c>
      <c r="C15" s="5">
        <f>$J$2</f>
        <v/>
      </c>
      <c r="D15" s="2">
        <f>C15-B15</f>
        <v/>
      </c>
      <c r="E15" s="6">
        <f>IF(C15&gt;0,B15/C15,0)</f>
        <v/>
      </c>
      <c r="F15" s="2">
        <f>IF(B15=0,"✅ Aucun lot",IF(B15&gt;=C15,"🔴 LIMITE ATTEINTE",IF(B15/C15&gt;=0.8,"🟠 Attention",IF(B15/C15&gt;=0.5,"🟡 En cours","🟢 Disponible"))))</f>
        <v/>
      </c>
      <c r="G15" s="11">
        <f>COUNTIFS('Demande de lots - 2026'!Q$3:Q$507,A15,'Demande de lots - 2026'!M$3:M$507,"Validé")</f>
        <v/>
      </c>
    </row>
    <row r="16" ht="19.5" customHeight="1">
      <c r="A16" s="10" t="inlineStr">
        <is>
          <t>Février 2027</t>
        </is>
      </c>
      <c r="B16" s="2">
        <f>COUNTIFS('Demande de lots - 2026'!Q$3:Q$507,A16,'Demande de lots - 2026'!M$3:M$507,"Validé")*4</f>
        <v/>
      </c>
      <c r="C16" s="5">
        <f>$J$2</f>
        <v/>
      </c>
      <c r="D16" s="2">
        <f>C16-B16</f>
        <v/>
      </c>
      <c r="E16" s="6">
        <f>IF(C16&gt;0,B16/C16,0)</f>
        <v/>
      </c>
      <c r="F16" s="2">
        <f>IF(B16=0,"✅ Aucun lot",IF(B16&gt;=C16,"🔴 LIMITE ATTEINTE",IF(B16/C16&gt;=0.8,"🟠 Attention",IF(B16/C16&gt;=0.5,"🟡 En cours","🟢 Disponible"))))</f>
        <v/>
      </c>
      <c r="G16" s="11">
        <f>COUNTIFS('Demande de lots - 2026'!Q$3:Q$507,A16,'Demande de lots - 2026'!M$3:M$507,"Validé")</f>
        <v/>
      </c>
    </row>
    <row r="17" ht="19.5" customHeight="1">
      <c r="A17" s="10" t="inlineStr">
        <is>
          <t>Mars 2027</t>
        </is>
      </c>
      <c r="B17" s="2">
        <f>COUNTIFS('Demande de lots - 2026'!Q$3:Q$507,A17,'Demande de lots - 2026'!M$3:M$507,"Validé")*4</f>
        <v/>
      </c>
      <c r="C17" s="5">
        <f>$J$2</f>
        <v/>
      </c>
      <c r="D17" s="2">
        <f>C17-B17</f>
        <v/>
      </c>
      <c r="E17" s="6">
        <f>IF(C17&gt;0,B17/C17,0)</f>
        <v/>
      </c>
      <c r="F17" s="2">
        <f>IF(B17=0,"✅ Aucun lot",IF(B17&gt;=C17,"🔴 LIMITE ATTEINTE",IF(B17/C17&gt;=0.8,"🟠 Attention",IF(B17/C17&gt;=0.5,"🟡 En cours","🟢 Disponible"))))</f>
        <v/>
      </c>
      <c r="G17" s="11">
        <f>COUNTIFS('Demande de lots - 2026'!Q$3:Q$507,A17,'Demande de lots - 2026'!M$3:M$507,"Validé")</f>
        <v/>
      </c>
    </row>
    <row r="18" ht="19.5" customHeight="1">
      <c r="A18" s="10" t="inlineStr">
        <is>
          <t>Avril 2027</t>
        </is>
      </c>
      <c r="B18" s="2">
        <f>COUNTIFS('Demande de lots - 2026'!Q$3:Q$507,A18,'Demande de lots - 2026'!M$3:M$507,"Validé")*4</f>
        <v/>
      </c>
      <c r="C18" s="5">
        <f>$J$2</f>
        <v/>
      </c>
      <c r="D18" s="2">
        <f>C18-B18</f>
        <v/>
      </c>
      <c r="E18" s="6">
        <f>IF(C18&gt;0,B18/C18,0)</f>
        <v/>
      </c>
      <c r="F18" s="2">
        <f>IF(B18=0,"✅ Aucun lot",IF(B18&gt;=C18,"🔴 LIMITE ATTEINTE",IF(B18/C18&gt;=0.8,"🟠 Attention",IF(B18/C18&gt;=0.5,"🟡 En cours","🟢 Disponible"))))</f>
        <v/>
      </c>
      <c r="G18" s="11">
        <f>COUNTIFS('Demande de lots - 2026'!Q$3:Q$507,A18,'Demande de lots - 2026'!M$3:M$507,"Validé")</f>
        <v/>
      </c>
    </row>
    <row r="19" ht="19.5" customHeight="1">
      <c r="A19" s="10" t="inlineStr">
        <is>
          <t>Mai 2027</t>
        </is>
      </c>
      <c r="B19" s="2">
        <f>COUNTIFS('Demande de lots - 2026'!Q$3:Q$507,A19,'Demande de lots - 2026'!M$3:M$507,"Validé")*4</f>
        <v/>
      </c>
      <c r="C19" s="5">
        <f>$J$2</f>
        <v/>
      </c>
      <c r="D19" s="2">
        <f>C19-B19</f>
        <v/>
      </c>
      <c r="E19" s="6">
        <f>IF(C19&gt;0,B19/C19,0)</f>
        <v/>
      </c>
      <c r="F19" s="2">
        <f>IF(B19=0,"✅ Aucun lot",IF(B19&gt;=C19,"🔴 LIMITE ATTEINTE",IF(B19/C19&gt;=0.8,"🟠 Attention",IF(B19/C19&gt;=0.5,"🟡 En cours","🟢 Disponible"))))</f>
        <v/>
      </c>
      <c r="G19" s="11">
        <f>COUNTIFS('Demande de lots - 2026'!Q$3:Q$507,A19,'Demande de lots - 2026'!M$3:M$507,"Validé")</f>
        <v/>
      </c>
    </row>
    <row r="20" ht="19.5" customHeight="1">
      <c r="A20" s="13" t="inlineStr">
        <is>
          <t>Juin 2027</t>
        </is>
      </c>
      <c r="B20" s="14">
        <f>COUNTIFS('Demande de lots - 2026'!Q$3:Q$507,A20,'Demande de lots - 2026'!M$3:M$507,"Validé")*4</f>
        <v/>
      </c>
      <c r="C20" s="15">
        <f>$J$2</f>
        <v/>
      </c>
      <c r="D20" s="14">
        <f>C20-B20</f>
        <v/>
      </c>
      <c r="E20" s="16">
        <f>IF(C20&gt;0,B20/C20,0)</f>
        <v/>
      </c>
      <c r="F20" s="14">
        <f>IF(B20=0,"✅ Aucun lot",IF(B20&gt;=C20,"🔴 LIMITE ATTEINTE",IF(B20/C20&gt;=0.8,"🟠 Attention",IF(B20/C20&gt;=0.5,"🟡 En cours","🟢 Disponible"))))</f>
        <v/>
      </c>
      <c r="G20" s="17">
        <f>COUNTIFS('Demande de lots - 2026'!Q$3:Q$507,A20,'Demande de lots - 2026'!M$3:M$507,"Validé")</f>
        <v/>
      </c>
    </row>
    <row r="21" ht="21.75" customHeight="1">
      <c r="A21" s="1" t="inlineStr">
        <is>
          <t>TOTAL ANNUEL</t>
        </is>
      </c>
      <c r="B21" s="7">
        <f>SUM(B3:B20)</f>
        <v/>
      </c>
    </row>
  </sheetData>
  <mergeCells count="1">
    <mergeCell ref="A1:G1"/>
  </mergeCell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2026-06-03T16:06:31Z</dcterms:created>
  <dcterms:modified xmlns:dcterms="http://purl.org/dc/terms/" xmlns:xsi="http://www.w3.org/2001/XMLSchema-instance" xsi:type="dcterms:W3CDTF">2026-09-10T08:23:38Z</dcterms:modified>
  <cp:revision>0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0x01010022BB7C26F1C54A4B90516668BA79A0F7</vt:lpwstr>
  </property>
  <property name="MediaServiceImageTags" fmtid="{D5CDD505-2E9C-101B-9397-08002B2CF9AE}" pid="3">
    <vt:lpwstr xmlns:vt="http://schemas.openxmlformats.org/officeDocument/2006/docPropsVTypes"/>
  </property>
</Properties>
</file>