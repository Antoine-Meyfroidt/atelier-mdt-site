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30" yWindow="2730" windowWidth="21600" windowHeight="11295" tabRatio="600" firstSheet="0" activeTab="0" autoFilterDateGrouping="1"/>
  </bookViews>
  <sheets>
    <sheet xmlns:r="http://schemas.openxmlformats.org/officeDocument/2006/relationships" name="Rentabilite" sheetId="1" state="visible" r:id="rId1"/>
    <sheet xmlns:r="http://schemas.openxmlformats.org/officeDocument/2006/relationships" name="Comparatif 3-3,5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.##0\.00,&quot;EUR&quot;"/>
    <numFmt numFmtId="165" formatCode="#.##0\.0,&quot;L&quot;"/>
    <numFmt numFmtId="166" formatCode="#.##0"/>
    <numFmt numFmtId="167" formatCode="#.##0\.000,&quot;EUR&quot;"/>
    <numFmt numFmtId="168" formatCode="#.##0\.0000,&quot;EUR&quot;"/>
    <numFmt numFmtId="169" formatCode="0\.0%"/>
    <numFmt numFmtId="170" formatCode="#.##0\.0"/>
    <numFmt numFmtId="171" formatCode="#.##0\.00"/>
    <numFmt numFmtId="172" formatCode="#.##0,&quot;EUR&quot;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theme="1"/>
      <sz val="9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theme="1"/>
      <sz val="13"/>
      <scheme val="minor"/>
    </font>
  </fonts>
  <fills count="6">
    <fill>
      <patternFill/>
    </fill>
    <fill>
      <patternFill patternType="gray125"/>
    </fill>
    <fill>
      <patternFill patternType="solid">
        <fgColor rgb="FF76432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0B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3" borderId="0" pivotButton="0" quotePrefix="0" xfId="0"/>
    <xf numFmtId="0" fontId="5" fillId="2" borderId="1" pivotButton="0" quotePrefix="0" xfId="0"/>
    <xf numFmtId="0" fontId="1" fillId="3" borderId="1" pivotButton="0" quotePrefix="0" xfId="0"/>
    <xf numFmtId="0" fontId="0" fillId="0" borderId="1" pivotButton="0" quotePrefix="0" xfId="0"/>
    <xf numFmtId="0" fontId="0" fillId="0" borderId="1" pivotButton="0" quotePrefix="0" xfId="0"/>
    <xf numFmtId="164" fontId="0" fillId="4" borderId="1" pivotButton="0" quotePrefix="0" xfId="0"/>
    <xf numFmtId="0" fontId="0" fillId="4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9" fontId="0" fillId="4" borderId="1" pivotButton="0" quotePrefix="0" xfId="0"/>
    <xf numFmtId="0" fontId="1" fillId="5" borderId="1" pivotButton="0" quotePrefix="0" xfId="0"/>
    <xf numFmtId="167" fontId="0" fillId="5" borderId="1" pivotButton="0" quotePrefix="0" xfId="0"/>
    <xf numFmtId="0" fontId="0" fillId="5" borderId="1" pivotButton="0" quotePrefix="0" xfId="0"/>
    <xf numFmtId="169" fontId="0" fillId="0" borderId="1" pivotButton="0" quotePrefix="0" xfId="0"/>
    <xf numFmtId="164" fontId="0" fillId="0" borderId="1" pivotButton="0" quotePrefix="0" xfId="0"/>
    <xf numFmtId="170" fontId="0" fillId="5" borderId="1" pivotButton="0" quotePrefix="0" xfId="0"/>
    <xf numFmtId="171" fontId="0" fillId="0" borderId="1" pivotButton="0" quotePrefix="0" xfId="0"/>
    <xf numFmtId="171" fontId="0" fillId="5" borderId="1" pivotButton="0" quotePrefix="0" xfId="0"/>
    <xf numFmtId="172" fontId="0" fillId="0" borderId="1" pivotButton="0" quotePrefix="0" xfId="0"/>
    <xf numFmtId="0" fontId="5" fillId="2" borderId="1" applyAlignment="1" pivotButton="0" quotePrefix="0" xfId="0">
      <alignment wrapText="1"/>
    </xf>
    <xf numFmtId="0" fontId="6" fillId="0" borderId="0" pivotButton="0" quotePrefix="0" xfId="0"/>
    <xf numFmtId="17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Point mort : resultat net mensuel selon le volume</a:t>
            </a:r>
          </a:p>
        </rich>
      </tx>
      <overlay val="0"/>
    </title>
    <plotArea>
      <layout/>
      <scatterChart>
        <scatterStyle val="lineMarker"/>
        <varyColors val="0"/>
        <ser>
          <idx val="0"/>
          <order val="0"/>
          <tx>
            <v>Resultat net @3,00 EUR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'Comparatif 3-3,5'!$A$17:$A$27</f>
              <numCache>
                <formatCode>#.##0</formatCode>
                <ptCount val="11"/>
                <pt idx="0">
                  <v>0</v>
                </pt>
                <pt idx="1">
                  <v>10</v>
                </pt>
                <pt idx="2">
                  <v>20</v>
                </pt>
                <pt idx="3">
                  <v>30</v>
                </pt>
                <pt idx="4">
                  <v>40</v>
                </pt>
                <pt idx="5">
                  <v>50</v>
                </pt>
                <pt idx="6">
                  <v>60</v>
                </pt>
                <pt idx="7">
                  <v>80</v>
                </pt>
                <pt idx="8">
                  <v>100</v>
                </pt>
                <pt idx="9">
                  <v>150</v>
                </pt>
                <pt idx="10">
                  <v>200</v>
                </pt>
              </numCache>
            </numRef>
          </xVal>
          <yVal>
            <numRef>
              <f>'Comparatif 3-3,5'!$B$17:$B$27</f>
              <numCache>
                <formatCode>#.##0\ "EUR"</formatCode>
                <ptCount val="11"/>
                <pt idx="0">
                  <v>-52.5</v>
                </pt>
                <pt idx="1">
                  <v>-32.23070900257638</v>
                </pt>
                <pt idx="2">
                  <v>-11.96141800515274</v>
                </pt>
                <pt idx="3">
                  <v>8.307872992270887</v>
                </pt>
                <pt idx="4">
                  <v>28.57716398969451</v>
                </pt>
                <pt idx="5">
                  <v>48.84645498711814</v>
                </pt>
                <pt idx="6">
                  <v>69.11574598454177</v>
                </pt>
                <pt idx="7">
                  <v>109.654327979389</v>
                </pt>
                <pt idx="8">
                  <v>150.1929099742363</v>
                </pt>
                <pt idx="9">
                  <v>251.5393649613544</v>
                </pt>
                <pt idx="10">
                  <v>352.8858199484725</v>
                </pt>
              </numCache>
            </numRef>
          </yVal>
          <smooth val="0"/>
        </ser>
        <ser>
          <idx val="1"/>
          <order val="1"/>
          <tx>
            <v>Resultat net @3,50 EUR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'Comparatif 3-3,5'!$A$17:$A$27</f>
              <numCache>
                <formatCode>#.##0</formatCode>
                <ptCount val="11"/>
                <pt idx="0">
                  <v>0</v>
                </pt>
                <pt idx="1">
                  <v>10</v>
                </pt>
                <pt idx="2">
                  <v>20</v>
                </pt>
                <pt idx="3">
                  <v>30</v>
                </pt>
                <pt idx="4">
                  <v>40</v>
                </pt>
                <pt idx="5">
                  <v>50</v>
                </pt>
                <pt idx="6">
                  <v>60</v>
                </pt>
                <pt idx="7">
                  <v>80</v>
                </pt>
                <pt idx="8">
                  <v>100</v>
                </pt>
                <pt idx="9">
                  <v>150</v>
                </pt>
                <pt idx="10">
                  <v>200</v>
                </pt>
              </numCache>
            </numRef>
          </xVal>
          <yVal>
            <numRef>
              <f>'Comparatif 3-3,5'!$C$17:$C$27</f>
              <numCache>
                <formatCode>#.##0\ "EUR"</formatCode>
                <ptCount val="11"/>
                <pt idx="0">
                  <v>-52.5</v>
                </pt>
                <pt idx="1">
                  <v>-27.68525445712183</v>
                </pt>
                <pt idx="2">
                  <v>-2.870508914243651</v>
                </pt>
                <pt idx="3">
                  <v>21.94423662863453</v>
                </pt>
                <pt idx="4">
                  <v>46.7589821715127</v>
                </pt>
                <pt idx="5">
                  <v>71.57372771439087</v>
                </pt>
                <pt idx="6">
                  <v>96.38847325726906</v>
                </pt>
                <pt idx="7">
                  <v>146.0179643430254</v>
                </pt>
                <pt idx="8">
                  <v>195.6474554287817</v>
                </pt>
                <pt idx="9">
                  <v>319.7211831431726</v>
                </pt>
                <pt idx="10">
                  <v>443.7949108575635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532885215"/>
        <axId val="1532882815"/>
      </scatterChart>
      <valAx>
        <axId val="153288521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fr-FR"/>
                  <a:t>Granites vendus / mois</a:t>
                </a:r>
              </a:p>
            </rich>
          </tx>
          <overlay val="0"/>
        </title>
        <numFmt formatCode="#.##0" sourceLinked="1"/>
        <majorTickMark val="out"/>
        <minorTickMark val="none"/>
        <tickLblPos val="nextTo"/>
        <crossAx val="1532882815"/>
        <crosses val="autoZero"/>
        <crossBetween val="midCat"/>
      </valAx>
      <valAx>
        <axId val="1532882815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fr-FR"/>
                  <a:t>Resultat net (EUR HT)</a:t>
                </a:r>
              </a:p>
            </rich>
          </tx>
          <overlay val="0"/>
        </title>
        <numFmt formatCode="#.##0\ &quot;EUR&quot;" sourceLinked="1"/>
        <majorTickMark val="out"/>
        <minorTickMark val="none"/>
        <tickLblPos val="nextTo"/>
        <crossAx val="1532885215"/>
        <crosses val="autoZero"/>
        <crossBetween val="midCat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Resultat net annuel selon le volume (jours)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Net / an @3,00 EUR</v>
          </tx>
          <spPr>
            <a:ln xmlns:a="http://schemas.openxmlformats.org/drawingml/2006/main">
              <a:prstDash val="solid"/>
            </a:ln>
          </spPr>
          <invertIfNegative val="0"/>
          <cat>
            <numRef>
              <f>'Comparatif 3-3,5'!$A$30:$A$35</f>
              <numCache>
                <formatCode>#.##0</formatCode>
                <ptCount val="6"/>
                <pt idx="0">
                  <v>5</v>
                </pt>
                <pt idx="1">
                  <v>10</v>
                </pt>
                <pt idx="2">
                  <v>15</v>
                </pt>
                <pt idx="3">
                  <v>20</v>
                </pt>
                <pt idx="4">
                  <v>30</v>
                </pt>
                <pt idx="5">
                  <v>50</v>
                </pt>
              </numCache>
            </numRef>
          </cat>
          <val>
            <numRef>
              <f>'Comparatif 3-3,5'!$B$30:$B$35</f>
              <numCache>
                <formatCode>#.##0\ "EUR"</formatCode>
                <ptCount val="6"/>
                <pt idx="0">
                  <v>1650.295237210158</v>
                </pt>
                <pt idx="1">
                  <v>3930.590474420316</v>
                </pt>
                <pt idx="2">
                  <v>6210.885711630474</v>
                </pt>
                <pt idx="3">
                  <v>8491.180948840632</v>
                </pt>
                <pt idx="4">
                  <v>13051.77142326095</v>
                </pt>
                <pt idx="5">
                  <v>22172.95237210158</v>
                </pt>
              </numCache>
            </numRef>
          </val>
        </ser>
        <ser>
          <idx val="1"/>
          <order val="1"/>
          <tx>
            <v>Net / an @3,50 EUR</v>
          </tx>
          <spPr>
            <a:ln xmlns:a="http://schemas.openxmlformats.org/drawingml/2006/main">
              <a:prstDash val="solid"/>
            </a:ln>
          </spPr>
          <invertIfNegative val="0"/>
          <cat>
            <numRef>
              <f>'Comparatif 3-3,5'!$A$30:$A$35</f>
              <numCache>
                <formatCode>#.##0</formatCode>
                <ptCount val="6"/>
                <pt idx="0">
                  <v>5</v>
                </pt>
                <pt idx="1">
                  <v>10</v>
                </pt>
                <pt idx="2">
                  <v>15</v>
                </pt>
                <pt idx="3">
                  <v>20</v>
                </pt>
                <pt idx="4">
                  <v>30</v>
                </pt>
                <pt idx="5">
                  <v>50</v>
                </pt>
              </numCache>
            </numRef>
          </cat>
          <val>
            <numRef>
              <f>'Comparatif 3-3,5'!$C$30:$C$35</f>
              <numCache>
                <formatCode>#.##0\ "EUR"</formatCode>
                <ptCount val="6"/>
                <pt idx="0">
                  <v>2161.658873573795</v>
                </pt>
                <pt idx="1">
                  <v>4953.317747147589</v>
                </pt>
                <pt idx="2">
                  <v>7744.976620721383</v>
                </pt>
                <pt idx="3">
                  <v>10536.63549429518</v>
                </pt>
                <pt idx="4">
                  <v>16119.95324144277</v>
                </pt>
                <pt idx="5">
                  <v>27286.58873573795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532875135"/>
        <axId val="1532879455"/>
      </barChart>
      <catAx>
        <axId val="153287513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fr-FR"/>
                  <a:t>Granites vendus / jour d'ouverture</a:t>
                </a:r>
              </a:p>
            </rich>
          </tx>
          <overlay val="0"/>
        </title>
        <numFmt formatCode="#.##0" sourceLinked="1"/>
        <majorTickMark val="out"/>
        <minorTickMark val="none"/>
        <tickLblPos val="nextTo"/>
        <crossAx val="1532879455"/>
        <crosses val="autoZero"/>
        <auto val="1"/>
        <lblAlgn val="ctr"/>
        <lblOffset val="100"/>
        <noMultiLvlLbl val="0"/>
      </catAx>
      <valAx>
        <axId val="1532879455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fr-FR"/>
                  <a:t>Resultat net / an (EUR HT)</a:t>
                </a:r>
              </a:p>
            </rich>
          </tx>
          <overlay val="0"/>
        </title>
        <numFmt formatCode="#.##0\ &quot;EUR&quot;" sourceLinked="1"/>
        <majorTickMark val="out"/>
        <minorTickMark val="none"/>
        <tickLblPos val="nextTo"/>
        <crossAx val="1532875135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3</col>
      <colOff>269875</colOff>
      <row>0</row>
      <rowOff>101600</rowOff>
    </from>
    <to>
      <col>11</col>
      <colOff>269875</colOff>
      <row>15</row>
      <rowOff>200025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</col>
      <colOff>269875</colOff>
      <row>15</row>
      <rowOff>352425</rowOff>
    </from>
    <to>
      <col>11</col>
      <colOff>269875</colOff>
      <row>30</row>
      <rowOff>98425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tabSelected="1" workbookViewId="0">
      <selection activeCell="A1" sqref="A1:D1"/>
    </sheetView>
  </sheetViews>
  <sheetFormatPr baseColWidth="10" defaultRowHeight="15"/>
  <cols>
    <col width="37.7109375" customWidth="1" style="1" min="1" max="1"/>
    <col width="14.7109375" customWidth="1" style="1" min="2" max="3"/>
    <col width="40.7109375" customWidth="1" style="1" min="4" max="4"/>
    <col width="16.7109375" customWidth="1" style="1" min="5" max="5"/>
    <col width="18.7109375" customWidth="1" style="1" min="6" max="7"/>
  </cols>
  <sheetData>
    <row r="1" ht="18.75" customHeight="1" s="1">
      <c r="A1" s="2" t="inlineStr">
        <is>
          <t>KAMPUS 137 - Etude de rentabilite : GRANITES (Fournisseur / Fournisseur)</t>
        </is>
      </c>
    </row>
    <row r="2">
      <c r="A2" s="4" t="inlineStr">
        <is>
          <t>Source : Offre SELI Fournisseur - contrat 36 mois - Liste de prix HT 2026 Blue 6 - etabli le 26/06/2026</t>
        </is>
      </c>
    </row>
    <row r="4">
      <c r="A4" s="6" t="inlineStr">
        <is>
          <t>PARAMETRE</t>
        </is>
      </c>
      <c r="B4" s="6" t="inlineStr">
        <is>
          <t>VALEUR</t>
        </is>
      </c>
      <c r="C4" s="6" t="inlineStr">
        <is>
          <t>UNITE</t>
        </is>
      </c>
      <c r="D4" s="6" t="inlineStr">
        <is>
          <t>NOTE</t>
        </is>
      </c>
    </row>
    <row r="5">
      <c r="A5" s="7" t="inlineStr">
        <is>
          <t>1)  CONTRAT &amp; MACHINE</t>
        </is>
      </c>
      <c r="B5" s="29" t="n"/>
      <c r="C5" s="29" t="n"/>
      <c r="D5" s="30" t="n"/>
    </row>
    <row r="6">
      <c r="A6" s="9" t="inlineStr">
        <is>
          <t>Loyer machine 2 bacs</t>
        </is>
      </c>
      <c r="B6" s="10" t="n">
        <v>50</v>
      </c>
      <c r="C6" s="9" t="inlineStr">
        <is>
          <t>EUR HT/mois</t>
        </is>
      </c>
      <c r="D6" s="9" t="inlineStr">
        <is>
          <t>au lieu de 60 EUR (remise SELI)</t>
        </is>
      </c>
    </row>
    <row r="7">
      <c r="A7" s="9" t="inlineStr">
        <is>
          <t>Frais d'installation (one-shot)</t>
        </is>
      </c>
      <c r="B7" s="10" t="n">
        <v>90</v>
      </c>
      <c r="C7" s="9" t="inlineStr">
        <is>
          <t>EUR HT</t>
        </is>
      </c>
      <c r="D7" s="9" t="inlineStr">
        <is>
          <t>au lieu de 180 EUR (remise SELI)</t>
        </is>
      </c>
    </row>
    <row r="8">
      <c r="A8" s="9" t="inlineStr">
        <is>
          <t>Duree du contrat</t>
        </is>
      </c>
      <c r="B8" s="11" t="n">
        <v>36</v>
      </c>
      <c r="C8" s="9" t="inlineStr">
        <is>
          <t>mois</t>
        </is>
      </c>
      <c r="D8" s="9" t="n"/>
    </row>
    <row r="9">
      <c r="A9" s="9" t="inlineStr">
        <is>
          <t>Mois offert(s)</t>
        </is>
      </c>
      <c r="B9" s="11" t="n">
        <v>1</v>
      </c>
      <c r="C9" s="9" t="inlineStr">
        <is>
          <t>mois</t>
        </is>
      </c>
      <c r="D9" s="9" t="inlineStr">
        <is>
          <t>1er mois apres installation offert</t>
        </is>
      </c>
    </row>
    <row r="10">
      <c r="A10" s="9" t="n"/>
      <c r="B10" s="9" t="n"/>
      <c r="C10" s="9" t="n"/>
      <c r="D10" s="9" t="n"/>
    </row>
    <row r="11">
      <c r="A11" s="7" t="inlineStr">
        <is>
          <t>2)  SIROP &amp; PORTION</t>
        </is>
      </c>
      <c r="B11" s="29" t="n"/>
      <c r="C11" s="29" t="n"/>
      <c r="D11" s="30" t="n"/>
    </row>
    <row r="12">
      <c r="A12" s="9" t="inlineStr">
        <is>
          <t>Prix BIB sirop 10 L</t>
        </is>
      </c>
      <c r="B12" s="10" t="n"/>
      <c r="C12" s="9" t="inlineStr">
        <is>
          <t>EUR HT</t>
        </is>
      </c>
      <c r="D12" s="9" t="inlineStr">
        <is>
          <t>tous parfums (framboise, fraise, cola...)</t>
        </is>
      </c>
    </row>
    <row r="13">
      <c r="A13" s="9" t="inlineStr">
        <is>
          <t>Ratio dilution (1 sirop : X eau)</t>
        </is>
      </c>
      <c r="B13" s="11" t="n">
        <v>6.8</v>
      </c>
      <c r="C13" s="9" t="n"/>
      <c r="D13" s="9" t="inlineStr">
        <is>
          <t>indique 1/6,8 sur la liste de prix</t>
        </is>
      </c>
    </row>
    <row r="14">
      <c r="A14" s="9" t="inlineStr">
        <is>
          <t>Volume de granite par BIB</t>
        </is>
      </c>
      <c r="B14" s="12">
        <f>10*(1+B13)</f>
        <v/>
      </c>
      <c r="C14" s="9" t="inlineStr">
        <is>
          <t>L</t>
        </is>
      </c>
      <c r="D14" s="9" t="inlineStr">
        <is>
          <t>10 L sirop x (1 + ratio)</t>
        </is>
      </c>
    </row>
    <row r="15">
      <c r="A15" s="9" t="inlineStr">
        <is>
          <t>Volume d'une portion</t>
        </is>
      </c>
      <c r="B15" s="11" t="n">
        <v>300</v>
      </c>
      <c r="C15" s="9" t="inlineStr">
        <is>
          <t>ml</t>
        </is>
      </c>
      <c r="D15" s="9" t="inlineStr">
        <is>
          <t>editable (gobelet 341 ml)</t>
        </is>
      </c>
    </row>
    <row r="16">
      <c r="A16" s="9" t="inlineStr">
        <is>
          <t>Portions par BIB</t>
        </is>
      </c>
      <c r="B16" s="13">
        <f>B14*1000/B15</f>
        <v/>
      </c>
      <c r="C16" s="9" t="inlineStr">
        <is>
          <t>portions</t>
        </is>
      </c>
      <c r="D16" s="9" t="n"/>
    </row>
    <row r="17">
      <c r="A17" s="9" t="inlineStr">
        <is>
          <t>Cout sirop par granite</t>
        </is>
      </c>
      <c r="B17" s="14">
        <f>B12/B16</f>
        <v/>
      </c>
      <c r="C17" s="9" t="inlineStr">
        <is>
          <t>EUR HT</t>
        </is>
      </c>
      <c r="D17" s="9" t="inlineStr">
        <is>
          <t>prix BIB / portions par BIB</t>
        </is>
      </c>
    </row>
    <row r="18">
      <c r="A18" s="9" t="n"/>
      <c r="B18" s="9" t="n"/>
      <c r="C18" s="9" t="n"/>
      <c r="D18" s="9" t="n"/>
    </row>
    <row r="19">
      <c r="A19" s="7" t="inlineStr">
        <is>
          <t>3)  CONSOMMABLES (par granite)</t>
        </is>
      </c>
      <c r="B19" s="29" t="n"/>
      <c r="C19" s="29" t="n"/>
      <c r="D19" s="30" t="n"/>
    </row>
    <row r="20">
      <c r="A20" s="9" t="inlineStr">
        <is>
          <t>Gobelet papier 341 ml</t>
        </is>
      </c>
      <c r="B20" s="15">
        <f>82.98/1140</f>
        <v/>
      </c>
      <c r="C20" s="9" t="inlineStr">
        <is>
          <t>EUR HT</t>
        </is>
      </c>
      <c r="D20" s="9" t="inlineStr">
        <is>
          <t>82,98 EUR / 1140 pcs</t>
        </is>
      </c>
    </row>
    <row r="21">
      <c r="A21" s="9" t="inlineStr">
        <is>
          <t>Paille</t>
        </is>
      </c>
      <c r="B21" s="15">
        <f>87.17/2500</f>
        <v/>
      </c>
      <c r="C21" s="9" t="inlineStr">
        <is>
          <t>EUR HT</t>
        </is>
      </c>
      <c r="D21" s="9" t="inlineStr">
        <is>
          <t>87,17 EUR / 2500 pcs</t>
        </is>
      </c>
    </row>
    <row r="22">
      <c r="A22" s="9" t="inlineStr">
        <is>
          <t>Couvercle 90 mm</t>
        </is>
      </c>
      <c r="B22" s="15">
        <f>94.84/1000</f>
        <v/>
      </c>
      <c r="C22" s="9" t="inlineStr">
        <is>
          <t>EUR HT</t>
        </is>
      </c>
      <c r="D22" s="9" t="inlineStr">
        <is>
          <t>94,84 EUR / 1000 pcs</t>
        </is>
      </c>
    </row>
    <row r="23">
      <c r="A23" s="9" t="inlineStr">
        <is>
          <t>Inclure couvercle ? (1=oui/0=non)</t>
        </is>
      </c>
      <c r="B23" s="11" t="n">
        <v>1</v>
      </c>
      <c r="C23" s="9" t="n"/>
      <c r="D23" s="9" t="inlineStr">
        <is>
          <t>mettre 0 si service sans couvercle</t>
        </is>
      </c>
    </row>
    <row r="24">
      <c r="A24" s="9" t="inlineStr">
        <is>
          <t>Cout consommables / granite</t>
        </is>
      </c>
      <c r="B24" s="14">
        <f>B20+B21+B22*B23</f>
        <v/>
      </c>
      <c r="C24" s="9" t="inlineStr">
        <is>
          <t>EUR HT</t>
        </is>
      </c>
      <c r="D24" s="9" t="n"/>
    </row>
    <row r="25">
      <c r="A25" s="9" t="n"/>
      <c r="B25" s="9" t="n"/>
      <c r="C25" s="9" t="n"/>
      <c r="D25" s="9" t="n"/>
    </row>
    <row r="26">
      <c r="A26" s="7" t="inlineStr">
        <is>
          <t>4)  COUT, PRIX &amp; MARGE</t>
        </is>
      </c>
      <c r="B26" s="29" t="n"/>
      <c r="C26" s="29" t="n"/>
      <c r="D26" s="30" t="n"/>
    </row>
    <row r="27">
      <c r="A27" s="9" t="inlineStr">
        <is>
          <t>Cout variable total / granite</t>
        </is>
      </c>
      <c r="B27" s="14">
        <f>B17+B24</f>
        <v/>
      </c>
      <c r="C27" s="9" t="inlineStr">
        <is>
          <t>EUR HT</t>
        </is>
      </c>
      <c r="D27" s="9" t="inlineStr">
        <is>
          <t>sirop + consommables</t>
        </is>
      </c>
    </row>
    <row r="28">
      <c r="A28" s="9" t="inlineStr">
        <is>
          <t>TVA</t>
        </is>
      </c>
      <c r="B28" s="16" t="n">
        <v>0.1</v>
      </c>
      <c r="C28" s="9" t="n"/>
      <c r="D28" s="9" t="inlineStr">
        <is>
          <t>boisson a consommer sur place = 10%</t>
        </is>
      </c>
    </row>
    <row r="29">
      <c r="A29" s="17" t="inlineStr">
        <is>
          <t>PRIX SEUIL plancher / granite (TTC)</t>
        </is>
      </c>
      <c r="B29" s="18">
        <f>B27*(1+B28)</f>
        <v/>
      </c>
      <c r="C29" s="19" t="inlineStr">
        <is>
          <t>EUR TTC</t>
        </is>
      </c>
      <c r="D29" s="19" t="inlineStr">
        <is>
          <t>en-dessous = perte sur chaque granite</t>
        </is>
      </c>
    </row>
    <row r="30">
      <c r="A30" s="9" t="inlineStr">
        <is>
          <t>Prix de vente public (retenu)</t>
        </is>
      </c>
      <c r="B30" s="10" t="n">
        <v>3.5</v>
      </c>
      <c r="C30" s="9" t="inlineStr">
        <is>
          <t>EUR TTC</t>
        </is>
      </c>
      <c r="D30" s="9" t="inlineStr">
        <is>
          <t>EDITABLE - prix retenu pour les scenarios</t>
        </is>
      </c>
    </row>
    <row r="31">
      <c r="A31" s="9" t="inlineStr">
        <is>
          <t>Prix de vente HT</t>
        </is>
      </c>
      <c r="B31" s="14">
        <f>B30/(1+B28)</f>
        <v/>
      </c>
      <c r="C31" s="9" t="inlineStr">
        <is>
          <t>EUR HT</t>
        </is>
      </c>
      <c r="D31" s="9" t="n"/>
    </row>
    <row r="32">
      <c r="A32" s="9" t="inlineStr">
        <is>
          <t>Marge brute / granite</t>
        </is>
      </c>
      <c r="B32" s="14">
        <f>B31-B27</f>
        <v/>
      </c>
      <c r="C32" s="9" t="inlineStr">
        <is>
          <t>EUR HT</t>
        </is>
      </c>
      <c r="D32" s="9" t="inlineStr">
        <is>
          <t>marge sur cout variable</t>
        </is>
      </c>
    </row>
    <row r="33">
      <c r="A33" s="9" t="inlineStr">
        <is>
          <t>Taux de marge</t>
        </is>
      </c>
      <c r="B33" s="20">
        <f>B32/B31</f>
        <v/>
      </c>
      <c r="C33" s="9" t="inlineStr">
        <is>
          <t>%</t>
        </is>
      </c>
      <c r="D33" s="9" t="n"/>
    </row>
    <row r="34">
      <c r="A34" s="9" t="n"/>
      <c r="B34" s="9" t="n"/>
      <c r="C34" s="9" t="n"/>
      <c r="D34" s="9" t="n"/>
    </row>
    <row r="35">
      <c r="A35" s="7" t="inlineStr">
        <is>
          <t>5)  SEUIL DE RENTABILITE &amp; INVESTISSEMENT</t>
        </is>
      </c>
      <c r="B35" s="29" t="n"/>
      <c r="C35" s="29" t="n"/>
      <c r="D35" s="30" t="n"/>
    </row>
    <row r="36">
      <c r="A36" s="9" t="inlineStr">
        <is>
          <t>Charges fixes completes / mois</t>
        </is>
      </c>
      <c r="B36" s="21">
        <f>B6+B7/B8</f>
        <v/>
      </c>
      <c r="C36" s="9" t="inlineStr">
        <is>
          <t>EUR HT/mois</t>
        </is>
      </c>
      <c r="D36" s="9" t="inlineStr">
        <is>
          <t>loyer + installation amortie sur 36 mois</t>
        </is>
      </c>
    </row>
    <row r="37">
      <c r="A37" s="17" t="inlineStr">
        <is>
          <t>QUANTITE MIN / mois (point mort)</t>
        </is>
      </c>
      <c r="B37" s="22">
        <f>B36/B32</f>
        <v/>
      </c>
      <c r="C37" s="19" t="inlineStr">
        <is>
          <t>granites/mois</t>
        </is>
      </c>
      <c r="D37" s="19" t="inlineStr">
        <is>
          <t>couvre loyer + installation</t>
        </is>
      </c>
    </row>
    <row r="38">
      <c r="A38" s="9" t="inlineStr">
        <is>
          <t>Jours d'ouverture / an</t>
        </is>
      </c>
      <c r="B38" s="11" t="n">
        <v>225</v>
      </c>
      <c r="C38" s="9" t="inlineStr">
        <is>
          <t>jours</t>
        </is>
      </c>
      <c r="D38" s="9" t="n"/>
    </row>
    <row r="39">
      <c r="A39" s="9" t="inlineStr">
        <is>
          <t>Jours d'ouverture / mois</t>
        </is>
      </c>
      <c r="B39" s="23">
        <f>B38/12</f>
        <v/>
      </c>
      <c r="C39" s="9" t="inlineStr">
        <is>
          <t>jours</t>
        </is>
      </c>
      <c r="D39" s="9" t="n"/>
    </row>
    <row r="40">
      <c r="A40" s="17" t="inlineStr">
        <is>
          <t>QUANTITE MIN / jour d'ouverture</t>
        </is>
      </c>
      <c r="B40" s="24">
        <f>B37/B39</f>
        <v/>
      </c>
      <c r="C40" s="19" t="inlineStr">
        <is>
          <t>granites/jour</t>
        </is>
      </c>
      <c r="D40" s="19" t="n"/>
    </row>
    <row r="41">
      <c r="A41" s="9" t="inlineStr">
        <is>
          <t>Cout total du contrat (36 mois)</t>
        </is>
      </c>
      <c r="B41" s="25">
        <f>B6*(B8-B9)+B7</f>
        <v/>
      </c>
      <c r="C41" s="9" t="inlineStr">
        <is>
          <t>EUR HT</t>
        </is>
      </c>
      <c r="D41" s="9" t="inlineStr">
        <is>
          <t>loyer x (36 - 1 offert) + installation</t>
        </is>
      </c>
    </row>
    <row r="42">
      <c r="A42" s="9" t="inlineStr">
        <is>
          <t>Volume pour amortir TOUT le contrat</t>
        </is>
      </c>
      <c r="B42" s="13">
        <f>B41/B32</f>
        <v/>
      </c>
      <c r="C42" s="9" t="inlineStr">
        <is>
          <t>granites</t>
        </is>
      </c>
      <c r="D42" s="9" t="inlineStr">
        <is>
          <t>sur 36 mois</t>
        </is>
      </c>
    </row>
    <row r="44">
      <c r="A44" s="5" t="inlineStr">
        <is>
          <t>6)  SCENARIOS DE VENTE (au prix retenu en B30)</t>
        </is>
      </c>
    </row>
    <row r="45" ht="45" customHeight="1" s="1">
      <c r="A45" s="26" t="inlineStr">
        <is>
          <t>Granites / jour</t>
        </is>
      </c>
      <c r="B45" s="26" t="inlineStr">
        <is>
          <t>Granites / mois</t>
        </is>
      </c>
      <c r="C45" s="26" t="inlineStr">
        <is>
          <t>CA TTC / mois</t>
        </is>
      </c>
      <c r="D45" s="26" t="inlineStr">
        <is>
          <t>Marge brute / mois (HT)</t>
        </is>
      </c>
      <c r="E45" s="26" t="inlineStr">
        <is>
          <t>Charges fixes / mois</t>
        </is>
      </c>
      <c r="F45" s="26" t="inlineStr">
        <is>
          <t>Resultat net / mois (HT)</t>
        </is>
      </c>
      <c r="G45" s="26" t="inlineStr">
        <is>
          <t>Resultat net / an (HT)</t>
        </is>
      </c>
    </row>
    <row r="46">
      <c r="A46" s="11" t="n">
        <v>5</v>
      </c>
      <c r="B46" s="13">
        <f>A46*$B$39</f>
        <v/>
      </c>
      <c r="C46" s="25">
        <f>B46*$B$30</f>
        <v/>
      </c>
      <c r="D46" s="25">
        <f>B46*$B$32</f>
        <v/>
      </c>
      <c r="E46" s="25">
        <f>$B$36</f>
        <v/>
      </c>
      <c r="F46" s="25">
        <f>D46-E46</f>
        <v/>
      </c>
      <c r="G46" s="25">
        <f>F46*12</f>
        <v/>
      </c>
    </row>
    <row r="47">
      <c r="A47" s="11" t="n">
        <v>10</v>
      </c>
      <c r="B47" s="13">
        <f>A47*$B$39</f>
        <v/>
      </c>
      <c r="C47" s="25">
        <f>B47*$B$30</f>
        <v/>
      </c>
      <c r="D47" s="25">
        <f>B47*$B$32</f>
        <v/>
      </c>
      <c r="E47" s="25">
        <f>$B$36</f>
        <v/>
      </c>
      <c r="F47" s="25">
        <f>D47-E47</f>
        <v/>
      </c>
      <c r="G47" s="25">
        <f>F47*12</f>
        <v/>
      </c>
    </row>
    <row r="48">
      <c r="A48" s="11" t="n">
        <v>15</v>
      </c>
      <c r="B48" s="13">
        <f>A48*$B$39</f>
        <v/>
      </c>
      <c r="C48" s="25">
        <f>B48*$B$30</f>
        <v/>
      </c>
      <c r="D48" s="25">
        <f>B48*$B$32</f>
        <v/>
      </c>
      <c r="E48" s="25">
        <f>$B$36</f>
        <v/>
      </c>
      <c r="F48" s="25">
        <f>D48-E48</f>
        <v/>
      </c>
      <c r="G48" s="25">
        <f>F48*12</f>
        <v/>
      </c>
    </row>
    <row r="49">
      <c r="A49" s="11" t="n">
        <v>20</v>
      </c>
      <c r="B49" s="13">
        <f>A49*$B$39</f>
        <v/>
      </c>
      <c r="C49" s="25">
        <f>B49*$B$30</f>
        <v/>
      </c>
      <c r="D49" s="25">
        <f>B49*$B$32</f>
        <v/>
      </c>
      <c r="E49" s="25">
        <f>$B$36</f>
        <v/>
      </c>
      <c r="F49" s="25">
        <f>D49-E49</f>
        <v/>
      </c>
      <c r="G49" s="25">
        <f>F49*12</f>
        <v/>
      </c>
    </row>
    <row r="50">
      <c r="A50" s="11" t="n">
        <v>30</v>
      </c>
      <c r="B50" s="13">
        <f>A50*$B$39</f>
        <v/>
      </c>
      <c r="C50" s="25">
        <f>B50*$B$30</f>
        <v/>
      </c>
      <c r="D50" s="25">
        <f>B50*$B$32</f>
        <v/>
      </c>
      <c r="E50" s="25">
        <f>$B$36</f>
        <v/>
      </c>
      <c r="F50" s="25">
        <f>D50-E50</f>
        <v/>
      </c>
      <c r="G50" s="25">
        <f>F50*12</f>
        <v/>
      </c>
    </row>
    <row r="51">
      <c r="A51" s="11" t="n">
        <v>50</v>
      </c>
      <c r="B51" s="13">
        <f>A51*$B$39</f>
        <v/>
      </c>
      <c r="C51" s="25">
        <f>B51*$B$30</f>
        <v/>
      </c>
      <c r="D51" s="25">
        <f>B51*$B$32</f>
        <v/>
      </c>
      <c r="E51" s="25">
        <f>$B$36</f>
        <v/>
      </c>
      <c r="F51" s="25">
        <f>D51-E51</f>
        <v/>
      </c>
      <c r="G51" s="25">
        <f>F51*12</f>
        <v/>
      </c>
    </row>
    <row r="53">
      <c r="A53" s="3" t="inlineStr">
        <is>
          <t>LECTURE : marge ~78% =&gt; point mort tres bas (~1 vente/jour). Cellules JAUNES = hypotheses modifiables ; cellules VERTES = reponses cles.</t>
        </is>
      </c>
    </row>
  </sheetData>
  <mergeCells count="9">
    <mergeCell ref="A1:D1"/>
    <mergeCell ref="A5:D5"/>
    <mergeCell ref="A44:G44"/>
    <mergeCell ref="A35:D35"/>
    <mergeCell ref="A53:G53"/>
    <mergeCell ref="A26:D26"/>
    <mergeCell ref="A2:D2"/>
    <mergeCell ref="A11:D11"/>
    <mergeCell ref="A19:D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:C1"/>
    </sheetView>
  </sheetViews>
  <sheetFormatPr baseColWidth="10" defaultRowHeight="15"/>
  <cols>
    <col width="34.7109375" customWidth="1" style="1" min="1" max="1"/>
    <col width="18.7109375" customWidth="1" style="1" min="2" max="3"/>
  </cols>
  <sheetData>
    <row r="1" ht="17.25" customHeight="1" s="1">
      <c r="A1" s="27" t="inlineStr">
        <is>
          <t>COMPARATIF PRIX 3,00 EUR vs 3,50 EUR + prix seuil &amp; quantite mini</t>
        </is>
      </c>
    </row>
    <row r="3" ht="30" customHeight="1" s="1">
      <c r="A3" s="26" t="inlineStr">
        <is>
          <t>INDICATEUR</t>
        </is>
      </c>
      <c r="B3" s="26" t="inlineStr">
        <is>
          <t>Hypothese 3,00 EUR</t>
        </is>
      </c>
      <c r="C3" s="26" t="inlineStr">
        <is>
          <t>Hypothese 3,50 EUR</t>
        </is>
      </c>
    </row>
    <row r="4">
      <c r="A4" s="9" t="inlineStr">
        <is>
          <t>Prix de vente (TTC)</t>
        </is>
      </c>
      <c r="B4" s="10" t="n">
        <v>3</v>
      </c>
      <c r="C4" s="10" t="n">
        <v>3.5</v>
      </c>
    </row>
    <row r="5">
      <c r="A5" s="9" t="inlineStr">
        <is>
          <t>Prix de vente (HT)</t>
        </is>
      </c>
      <c r="B5" s="14">
        <f>B4/(1+Rentabilite!$B$28)</f>
        <v/>
      </c>
      <c r="C5" s="14">
        <f>C4/(1+Rentabilite!$B$28)</f>
        <v/>
      </c>
    </row>
    <row r="6">
      <c r="A6" s="9" t="inlineStr">
        <is>
          <t>Cout variable / granite (HT)</t>
        </is>
      </c>
      <c r="B6" s="14">
        <f>Rentabilite!$B$27</f>
        <v/>
      </c>
      <c r="C6" s="14">
        <f>Rentabilite!$B$27</f>
        <v/>
      </c>
    </row>
    <row r="7">
      <c r="A7" s="9" t="inlineStr">
        <is>
          <t>Marge brute / granite (HT)</t>
        </is>
      </c>
      <c r="B7" s="14">
        <f>B5-B6</f>
        <v/>
      </c>
      <c r="C7" s="14">
        <f>C5-C6</f>
        <v/>
      </c>
    </row>
    <row r="8">
      <c r="A8" s="9" t="inlineStr">
        <is>
          <t>Taux de marge</t>
        </is>
      </c>
      <c r="B8" s="20">
        <f>B7/B5</f>
        <v/>
      </c>
      <c r="C8" s="20">
        <f>C7/C5</f>
        <v/>
      </c>
    </row>
    <row r="9">
      <c r="A9" s="9" t="inlineStr">
        <is>
          <t>Charges fixes completes / mois</t>
        </is>
      </c>
      <c r="B9" s="21">
        <f>Rentabilite!$B$36</f>
        <v/>
      </c>
      <c r="C9" s="21">
        <f>Rentabilite!$B$36</f>
        <v/>
      </c>
    </row>
    <row r="10">
      <c r="A10" s="17" t="inlineStr">
        <is>
          <t>PRIX SEUIL plancher (TTC)</t>
        </is>
      </c>
      <c r="B10" s="18">
        <f>B6*(1+Rentabilite!$B$28)</f>
        <v/>
      </c>
      <c r="C10" s="18">
        <f>C6*(1+Rentabilite!$B$28)</f>
        <v/>
      </c>
    </row>
    <row r="11">
      <c r="A11" s="17" t="inlineStr">
        <is>
          <t>QUANTITE MIN / mois (point mort)</t>
        </is>
      </c>
      <c r="B11" s="22">
        <f>B9/B7</f>
        <v/>
      </c>
      <c r="C11" s="22">
        <f>C9/C7</f>
        <v/>
      </c>
    </row>
    <row r="12">
      <c r="A12" s="17" t="inlineStr">
        <is>
          <t>QUANTITE MIN / jour d'ouverture</t>
        </is>
      </c>
      <c r="B12" s="24">
        <f>B11/Rentabilite!$B$39</f>
        <v/>
      </c>
      <c r="C12" s="24">
        <f>C11/Rentabilite!$B$39</f>
        <v/>
      </c>
    </row>
    <row r="13">
      <c r="A13" s="9" t="inlineStr">
        <is>
          <t>Rappel : seuil loyer seul / mois</t>
        </is>
      </c>
      <c r="B13" s="28">
        <f>Rentabilite!$B$6/B7</f>
        <v/>
      </c>
      <c r="C13" s="28">
        <f>Rentabilite!$B$6/C7</f>
        <v/>
      </c>
    </row>
    <row r="16" ht="45" customHeight="1" s="1">
      <c r="A16" s="26" t="inlineStr">
        <is>
          <t>Granites / mois</t>
        </is>
      </c>
      <c r="B16" s="26" t="inlineStr">
        <is>
          <t>Resultat net @3,00 EUR</t>
        </is>
      </c>
      <c r="C16" s="26" t="inlineStr">
        <is>
          <t>Resultat net @3,50 EUR</t>
        </is>
      </c>
    </row>
    <row r="17">
      <c r="A17" s="13" t="n">
        <v>0</v>
      </c>
      <c r="B17" s="25">
        <f>A17*$B$7-$B$9</f>
        <v/>
      </c>
      <c r="C17" s="25">
        <f>A17*$C$7-$C$9</f>
        <v/>
      </c>
    </row>
    <row r="18">
      <c r="A18" s="13" t="n">
        <v>10</v>
      </c>
      <c r="B18" s="25">
        <f>A18*$B$7-$B$9</f>
        <v/>
      </c>
      <c r="C18" s="25">
        <f>A18*$C$7-$C$9</f>
        <v/>
      </c>
    </row>
    <row r="19">
      <c r="A19" s="13" t="n">
        <v>20</v>
      </c>
      <c r="B19" s="25">
        <f>A19*$B$7-$B$9</f>
        <v/>
      </c>
      <c r="C19" s="25">
        <f>A19*$C$7-$C$9</f>
        <v/>
      </c>
    </row>
    <row r="20">
      <c r="A20" s="13" t="n">
        <v>30</v>
      </c>
      <c r="B20" s="25">
        <f>A20*$B$7-$B$9</f>
        <v/>
      </c>
      <c r="C20" s="25">
        <f>A20*$C$7-$C$9</f>
        <v/>
      </c>
    </row>
    <row r="21">
      <c r="A21" s="13" t="n">
        <v>40</v>
      </c>
      <c r="B21" s="25">
        <f>A21*$B$7-$B$9</f>
        <v/>
      </c>
      <c r="C21" s="25">
        <f>A21*$C$7-$C$9</f>
        <v/>
      </c>
    </row>
    <row r="22">
      <c r="A22" s="13" t="n">
        <v>50</v>
      </c>
      <c r="B22" s="25">
        <f>A22*$B$7-$B$9</f>
        <v/>
      </c>
      <c r="C22" s="25">
        <f>A22*$C$7-$C$9</f>
        <v/>
      </c>
    </row>
    <row r="23">
      <c r="A23" s="13" t="n">
        <v>60</v>
      </c>
      <c r="B23" s="25">
        <f>A23*$B$7-$B$9</f>
        <v/>
      </c>
      <c r="C23" s="25">
        <f>A23*$C$7-$C$9</f>
        <v/>
      </c>
    </row>
    <row r="24">
      <c r="A24" s="13" t="n">
        <v>80</v>
      </c>
      <c r="B24" s="25">
        <f>A24*$B$7-$B$9</f>
        <v/>
      </c>
      <c r="C24" s="25">
        <f>A24*$C$7-$C$9</f>
        <v/>
      </c>
    </row>
    <row r="25">
      <c r="A25" s="13" t="n">
        <v>100</v>
      </c>
      <c r="B25" s="25">
        <f>A25*$B$7-$B$9</f>
        <v/>
      </c>
      <c r="C25" s="25">
        <f>A25*$C$7-$C$9</f>
        <v/>
      </c>
    </row>
    <row r="26">
      <c r="A26" s="13" t="n">
        <v>150</v>
      </c>
      <c r="B26" s="25">
        <f>A26*$B$7-$B$9</f>
        <v/>
      </c>
      <c r="C26" s="25">
        <f>A26*$C$7-$C$9</f>
        <v/>
      </c>
    </row>
    <row r="27">
      <c r="A27" s="13" t="n">
        <v>200</v>
      </c>
      <c r="B27" s="25">
        <f>A27*$B$7-$B$9</f>
        <v/>
      </c>
      <c r="C27" s="25">
        <f>A27*$C$7-$C$9</f>
        <v/>
      </c>
    </row>
    <row r="29" ht="30" customHeight="1" s="1">
      <c r="A29" s="26" t="inlineStr">
        <is>
          <t>Granites / jour</t>
        </is>
      </c>
      <c r="B29" s="26" t="inlineStr">
        <is>
          <t>Net / an @3,00 EUR</t>
        </is>
      </c>
      <c r="C29" s="26" t="inlineStr">
        <is>
          <t>Net / an @3,50 EUR</t>
        </is>
      </c>
    </row>
    <row r="30">
      <c r="A30" s="13" t="n">
        <v>5</v>
      </c>
      <c r="B30" s="25">
        <f>(A30*Rentabilite!$B$39*$B$7-$B$9)*12</f>
        <v/>
      </c>
      <c r="C30" s="25">
        <f>(A30*Rentabilite!$B$39*$C$7-$C$9)*12</f>
        <v/>
      </c>
    </row>
    <row r="31">
      <c r="A31" s="13" t="n">
        <v>10</v>
      </c>
      <c r="B31" s="25">
        <f>(A31*Rentabilite!$B$39*$B$7-$B$9)*12</f>
        <v/>
      </c>
      <c r="C31" s="25">
        <f>(A31*Rentabilite!$B$39*$C$7-$C$9)*12</f>
        <v/>
      </c>
    </row>
    <row r="32">
      <c r="A32" s="13" t="n">
        <v>15</v>
      </c>
      <c r="B32" s="25">
        <f>(A32*Rentabilite!$B$39*$B$7-$B$9)*12</f>
        <v/>
      </c>
      <c r="C32" s="25">
        <f>(A32*Rentabilite!$B$39*$C$7-$C$9)*12</f>
        <v/>
      </c>
    </row>
    <row r="33">
      <c r="A33" s="13" t="n">
        <v>20</v>
      </c>
      <c r="B33" s="25">
        <f>(A33*Rentabilite!$B$39*$B$7-$B$9)*12</f>
        <v/>
      </c>
      <c r="C33" s="25">
        <f>(A33*Rentabilite!$B$39*$C$7-$C$9)*12</f>
        <v/>
      </c>
    </row>
    <row r="34">
      <c r="A34" s="13" t="n">
        <v>30</v>
      </c>
      <c r="B34" s="25">
        <f>(A34*Rentabilite!$B$39*$B$7-$B$9)*12</f>
        <v/>
      </c>
      <c r="C34" s="25">
        <f>(A34*Rentabilite!$B$39*$C$7-$C$9)*12</f>
        <v/>
      </c>
    </row>
    <row r="35">
      <c r="A35" s="13" t="n">
        <v>50</v>
      </c>
      <c r="B35" s="25">
        <f>(A35*Rentabilite!$B$39*$B$7-$B$9)*12</f>
        <v/>
      </c>
      <c r="C35" s="25">
        <f>(A35*Rentabilite!$B$39*$C$7-$C$9)*12</f>
        <v/>
      </c>
    </row>
  </sheetData>
  <mergeCells count="1">
    <mergeCell ref="A1:C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Antoine Meyfroidt</dc:creator>
  <dcterms:created xmlns:dcterms="http://purl.org/dc/terms/" xmlns:xsi="http://www.w3.org/2001/XMLSchema-instance" xsi:type="dcterms:W3CDTF">2026-06-26T11:56:36Z</dcterms:created>
  <dcterms:modified xmlns:dcterms="http://purl.org/dc/terms/" xmlns:xsi="http://www.w3.org/2001/XMLSchema-instance" xsi:type="dcterms:W3CDTF">2026-09-10T13:03:01Z</dcterms:modified>
  <cp:lastModifiedBy>Antoine Meyfroidt</cp:lastModifiedBy>
</cp:coreProperties>
</file>