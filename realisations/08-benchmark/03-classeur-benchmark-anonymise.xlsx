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ynthèse" sheetId="1" state="visible" r:id="rId1"/>
    <sheet xmlns:r="http://schemas.openxmlformats.org/officeDocument/2006/relationships" name="Benchmark 1h" sheetId="2" state="visible" r:id="rId2"/>
    <sheet xmlns:r="http://schemas.openxmlformats.org/officeDocument/2006/relationships" name="Benchmark 30 min" sheetId="3" state="visible" r:id="rId3"/>
    <sheet xmlns:r="http://schemas.openxmlformats.org/officeDocument/2006/relationships" name="Sources &amp; méthode"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quot; €&quot;"/>
  </numFmts>
  <fonts count="2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color rgb="FFFFFFFF"/>
      <sz val="9"/>
    </font>
    <font>
      <name val="Arial"/>
      <charset val="1"/>
      <family val="0"/>
      <b val="1"/>
      <color rgb="FF252D5D"/>
      <sz val="11"/>
    </font>
    <font>
      <name val="Arial"/>
      <charset val="1"/>
      <family val="0"/>
      <b val="1"/>
      <color rgb="FF252D5D"/>
      <sz val="10"/>
    </font>
    <font>
      <name val="Arial"/>
      <charset val="1"/>
      <family val="0"/>
      <color rgb="FF000000"/>
      <sz val="9"/>
    </font>
    <font>
      <name val="Arial"/>
      <charset val="1"/>
      <family val="0"/>
      <b val="1"/>
      <color rgb="FFFFFFFF"/>
      <sz val="10"/>
    </font>
    <font>
      <name val="Arial"/>
      <charset val="1"/>
      <family val="0"/>
      <color rgb="FF000000"/>
      <sz val="10"/>
    </font>
    <font>
      <name val="Arial"/>
      <charset val="1"/>
      <family val="0"/>
      <color rgb="FF595959"/>
      <sz val="9"/>
    </font>
    <font>
      <name val="Arial"/>
      <charset val="1"/>
      <family val="0"/>
      <b val="1"/>
      <color rgb="FF000000"/>
      <sz val="10"/>
    </font>
    <font>
      <name val="Arial"/>
      <charset val="1"/>
      <family val="0"/>
      <b val="1"/>
      <color rgb="FF0000FF"/>
      <sz val="11"/>
    </font>
    <font>
      <name val="Arial"/>
      <charset val="1"/>
      <family val="0"/>
      <b val="1"/>
      <color rgb="FFFFFFFF"/>
      <sz val="12"/>
    </font>
    <font>
      <name val="Arial"/>
      <charset val="1"/>
      <family val="0"/>
      <color rgb="FF1F4E79"/>
      <sz val="9"/>
    </font>
    <font>
      <name val="Arial"/>
      <charset val="1"/>
      <family val="0"/>
      <color rgb="FF375623"/>
      <sz val="9"/>
    </font>
    <font>
      <name val="Arial"/>
      <charset val="1"/>
      <family val="0"/>
      <b val="1"/>
      <color rgb="FF843C0C"/>
      <sz val="10"/>
    </font>
    <font>
      <name val="Arial"/>
      <charset val="1"/>
      <family val="0"/>
      <color rgb="FF843C0C"/>
      <sz val="9"/>
    </font>
    <font>
      <name val="Arial"/>
      <charset val="1"/>
      <family val="0"/>
      <b val="1"/>
      <color rgb="FF000000"/>
      <sz val="9"/>
    </font>
    <font>
      <name val="Arial"/>
      <charset val="1"/>
      <family val="0"/>
      <b val="1"/>
      <color rgb="FF252D5D"/>
      <sz val="9"/>
    </font>
    <font>
      <name val="Arial"/>
      <charset val="1"/>
      <family val="0"/>
      <color rgb="FF595959"/>
      <sz val="8"/>
    </font>
    <font>
      <name val="Arial"/>
      <charset val="1"/>
      <family val="0"/>
      <b val="1"/>
      <color rgb="FF595959"/>
      <sz val="10"/>
    </font>
    <font>
      <name val="Arial"/>
      <charset val="1"/>
      <family val="0"/>
      <color rgb="FF1155CC"/>
      <sz val="8"/>
    </font>
  </fonts>
  <fills count="10">
    <fill>
      <patternFill/>
    </fill>
    <fill>
      <patternFill patternType="gray125"/>
    </fill>
    <fill>
      <patternFill patternType="solid">
        <fgColor rgb="FF252D5D"/>
        <bgColor rgb="FF1F4E79"/>
      </patternFill>
    </fill>
    <fill>
      <patternFill patternType="solid">
        <fgColor rgb="FF3C4690"/>
        <bgColor rgb="FF1F4E79"/>
      </patternFill>
    </fill>
    <fill>
      <patternFill patternType="solid">
        <fgColor rgb="FFEEF0F6"/>
        <bgColor rgb="FFE2EFDA"/>
      </patternFill>
    </fill>
    <fill>
      <patternFill patternType="solid">
        <fgColor rgb="FFFFFFFF"/>
        <bgColor rgb="FFEEF0F6"/>
      </patternFill>
    </fill>
    <fill>
      <patternFill patternType="solid">
        <fgColor rgb="FFFFF2CC"/>
        <bgColor rgb="FFFCE9D6"/>
      </patternFill>
    </fill>
    <fill>
      <patternFill patternType="solid">
        <fgColor rgb="FFD9DCE8"/>
        <bgColor rgb="FFE2EFDA"/>
      </patternFill>
    </fill>
    <fill>
      <patternFill patternType="solid">
        <fgColor rgb="FFE2EFDA"/>
        <bgColor rgb="FFEEF0F6"/>
      </patternFill>
    </fill>
    <fill>
      <patternFill patternType="solid">
        <fgColor rgb="FFFCE9D6"/>
        <bgColor rgb="FFFFF2CC"/>
      </patternFill>
    </fill>
  </fills>
  <borders count="9">
    <border>
      <left/>
      <right/>
      <top/>
      <bottom/>
      <diagonal/>
    </border>
    <border>
      <left style="thin">
        <color rgb="FFB7BBC9"/>
      </left>
      <right/>
      <top style="thin">
        <color rgb="FFB7BBC9"/>
      </top>
      <bottom style="thin">
        <color rgb="FFB7BBC9"/>
      </bottom>
      <diagonal/>
    </border>
    <border>
      <left style="thin">
        <color rgb="FFB7BBC9"/>
      </left>
      <right style="thin">
        <color rgb="FFB7BBC9"/>
      </right>
      <top style="thin">
        <color rgb="FFB7BBC9"/>
      </top>
      <bottom style="thin">
        <color rgb="FFB7BBC9"/>
      </bottom>
      <diagonal/>
    </border>
    <border>
      <left style="thin">
        <color rgb="FFB7BBC9"/>
      </left>
      <right/>
      <top style="thin">
        <color rgb="FFB7BBC9"/>
      </top>
      <bottom/>
      <diagonal/>
    </border>
    <border>
      <left/>
      <right/>
      <top style="thin">
        <color rgb="FFB7BBC9"/>
      </top>
      <bottom/>
      <diagonal/>
    </border>
    <border>
      <left/>
      <right/>
      <top style="thin">
        <color rgb="FFB7BBC9"/>
      </top>
      <bottom style="thin">
        <color rgb="FFB7BBC9"/>
      </bottom>
      <diagonal/>
    </border>
    <border>
      <left/>
      <right style="thin">
        <color rgb="FFB7BBC9"/>
      </right>
      <top style="thin">
        <color rgb="FFB7BBC9"/>
      </top>
      <bottom/>
      <diagonal/>
    </border>
    <border>
      <left/>
      <right style="thin">
        <color rgb="FFB7BBC9"/>
      </right>
      <top style="thin">
        <color rgb="FFB7BBC9"/>
      </top>
      <bottom style="thin">
        <color rgb="FFB7BBC9"/>
      </bottom>
      <diagonal/>
    </border>
    <border>
      <left style="thin">
        <color rgb="FFB7BBC9"/>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wrapText="1"/>
    </xf>
    <xf numFmtId="0" fontId="5" fillId="3" borderId="0" applyAlignment="1" pivotButton="0" quotePrefix="0" xfId="0">
      <alignment horizontal="left" vertical="center" wrapText="1"/>
    </xf>
    <xf numFmtId="0" fontId="6" fillId="4" borderId="1" applyAlignment="1" pivotButton="0" quotePrefix="0" xfId="0">
      <alignment horizontal="left" vertical="center" wrapText="1"/>
    </xf>
    <xf numFmtId="0" fontId="7" fillId="5" borderId="1" applyAlignment="1" pivotButton="0" quotePrefix="0" xfId="0">
      <alignment horizontal="left" vertical="center" wrapText="1"/>
    </xf>
    <xf numFmtId="0" fontId="8" fillId="5" borderId="1" applyAlignment="1" pivotButton="0" quotePrefix="0" xfId="0">
      <alignment horizontal="left" vertical="center" wrapText="1"/>
    </xf>
    <xf numFmtId="0" fontId="9" fillId="2" borderId="2" applyAlignment="1" pivotButton="0" quotePrefix="0" xfId="0">
      <alignment horizontal="left" vertical="center" wrapText="1"/>
    </xf>
    <xf numFmtId="0" fontId="9" fillId="2" borderId="1" applyAlignment="1" pivotButton="0" quotePrefix="0" xfId="0">
      <alignment horizontal="center" vertical="center" wrapText="1"/>
    </xf>
    <xf numFmtId="0" fontId="10" fillId="5" borderId="2" applyAlignment="1" pivotButton="0" quotePrefix="0" xfId="0">
      <alignment horizontal="left" vertical="center" wrapText="1"/>
    </xf>
    <xf numFmtId="164" fontId="6" fillId="0" borderId="2" applyAlignment="1" pivotButton="0" quotePrefix="0" xfId="0">
      <alignment horizontal="center" vertical="center"/>
    </xf>
    <xf numFmtId="0" fontId="11" fillId="5" borderId="2" applyAlignment="1" pivotButton="0" quotePrefix="0" xfId="0">
      <alignment horizontal="left" vertical="center" wrapText="1"/>
    </xf>
    <xf numFmtId="0" fontId="12" fillId="6" borderId="1" applyAlignment="1" pivotButton="0" quotePrefix="0" xfId="0">
      <alignment horizontal="left" vertical="center" wrapText="1"/>
    </xf>
    <xf numFmtId="164" fontId="13" fillId="6" borderId="2" applyAlignment="1" pivotButton="0" quotePrefix="0" xfId="0">
      <alignment horizontal="center" vertical="center" wrapText="1"/>
    </xf>
    <xf numFmtId="0" fontId="11" fillId="5" borderId="1" applyAlignment="1" pivotButton="0" quotePrefix="0" xfId="0">
      <alignment horizontal="left" vertical="center" wrapText="1"/>
    </xf>
    <xf numFmtId="0" fontId="8" fillId="5" borderId="3" applyAlignment="1" pivotButton="0" quotePrefix="0" xfId="0">
      <alignment horizontal="left" vertical="top" wrapText="1"/>
    </xf>
    <xf numFmtId="0" fontId="14" fillId="2" borderId="0" applyAlignment="1" pivotButton="0" quotePrefix="0" xfId="0">
      <alignment horizontal="left" vertical="center" wrapText="1"/>
    </xf>
    <xf numFmtId="0" fontId="7" fillId="7" borderId="1" applyAlignment="1" pivotButton="0" quotePrefix="0" xfId="0">
      <alignment horizontal="left" vertical="center" wrapText="1"/>
    </xf>
    <xf numFmtId="0" fontId="9" fillId="3" borderId="2" applyAlignment="1" pivotButton="0" quotePrefix="0" xfId="0">
      <alignment horizontal="center" vertical="center" wrapText="1"/>
    </xf>
    <xf numFmtId="0" fontId="8" fillId="5" borderId="2" applyAlignment="1" pivotButton="0" quotePrefix="0" xfId="0">
      <alignment horizontal="left" vertical="center" wrapText="1"/>
    </xf>
    <xf numFmtId="0" fontId="8" fillId="5" borderId="2" applyAlignment="1" pivotButton="0" quotePrefix="0" xfId="0">
      <alignment horizontal="center" vertical="center" wrapText="1"/>
    </xf>
    <xf numFmtId="0" fontId="15" fillId="4" borderId="2" applyAlignment="1" pivotButton="0" quotePrefix="0" xfId="0">
      <alignment horizontal="center" vertical="center" wrapText="1"/>
    </xf>
    <xf numFmtId="164" fontId="7" fillId="5" borderId="2" applyAlignment="1" pivotButton="0" quotePrefix="0" xfId="0">
      <alignment horizontal="center" vertical="center" wrapText="1"/>
    </xf>
    <xf numFmtId="0" fontId="16" fillId="8" borderId="2" applyAlignment="1" pivotButton="0" quotePrefix="0" xfId="0">
      <alignment horizontal="center" vertical="center" wrapText="1"/>
    </xf>
    <xf numFmtId="0" fontId="17" fillId="9" borderId="1" applyAlignment="1" pivotButton="0" quotePrefix="0" xfId="0">
      <alignment horizontal="left" vertical="center" wrapText="1"/>
    </xf>
    <xf numFmtId="0" fontId="18" fillId="9" borderId="2" applyAlignment="1" pivotButton="0" quotePrefix="0" xfId="0">
      <alignment horizontal="center" vertical="center" wrapText="1"/>
    </xf>
    <xf numFmtId="0" fontId="9" fillId="2" borderId="1" applyAlignment="1" pivotButton="0" quotePrefix="0" xfId="0">
      <alignment horizontal="left" vertical="center" wrapText="1"/>
    </xf>
    <xf numFmtId="0" fontId="19" fillId="5" borderId="2" applyAlignment="1" pivotButton="0" quotePrefix="0" xfId="0">
      <alignment horizontal="left" vertical="center" wrapText="1"/>
    </xf>
    <xf numFmtId="0" fontId="20" fillId="7" borderId="2" applyAlignment="1" pivotButton="0" quotePrefix="0" xfId="0">
      <alignment horizontal="center" vertical="center" wrapText="1"/>
    </xf>
    <xf numFmtId="0" fontId="19" fillId="6" borderId="2" applyAlignment="1" pivotButton="0" quotePrefix="0" xfId="0">
      <alignment horizontal="center" vertical="center" wrapText="1"/>
    </xf>
    <xf numFmtId="0" fontId="7" fillId="4" borderId="1" applyAlignment="1" pivotButton="0" quotePrefix="0" xfId="0">
      <alignment horizontal="left" vertical="center" wrapText="1"/>
    </xf>
    <xf numFmtId="0" fontId="21" fillId="4" borderId="1" applyAlignment="1" pivotButton="0" quotePrefix="0" xfId="0">
      <alignment horizontal="left" vertical="center" wrapText="1"/>
    </xf>
    <xf numFmtId="0" fontId="0" fillId="0" borderId="0" applyAlignment="1" pivotButton="0" quotePrefix="0" xfId="0">
      <alignment horizontal="general" vertical="bottom"/>
    </xf>
    <xf numFmtId="0" fontId="11" fillId="5" borderId="2" applyAlignment="1" pivotButton="0" quotePrefix="0" xfId="0">
      <alignment horizontal="center" vertical="center" wrapText="1"/>
    </xf>
    <xf numFmtId="0" fontId="18" fillId="4" borderId="2" applyAlignment="1" pivotButton="0" quotePrefix="0" xfId="0">
      <alignment horizontal="center" vertical="center" wrapText="1"/>
    </xf>
    <xf numFmtId="0" fontId="11" fillId="4" borderId="2" applyAlignment="1" pivotButton="0" quotePrefix="0" xfId="0">
      <alignment horizontal="center" vertical="center" wrapText="1"/>
    </xf>
    <xf numFmtId="164" fontId="22" fillId="4" borderId="2" applyAlignment="1" pivotButton="0" quotePrefix="0" xfId="0">
      <alignment horizontal="center" vertical="center" wrapText="1"/>
    </xf>
    <xf numFmtId="0" fontId="23" fillId="5" borderId="2"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wrapText="1"/>
    </xf>
    <xf numFmtId="0" fontId="5" fillId="3" borderId="0" applyAlignment="1" pivotButton="0" quotePrefix="0" xfId="0">
      <alignment horizontal="left" vertical="center" wrapText="1"/>
    </xf>
    <xf numFmtId="0" fontId="6" fillId="4" borderId="1" applyAlignment="1" pivotButton="0" quotePrefix="0" xfId="0">
      <alignment horizontal="left" vertical="center" wrapText="1"/>
    </xf>
    <xf numFmtId="0" fontId="0" fillId="0" borderId="5" pivotButton="0" quotePrefix="0" xfId="0"/>
    <xf numFmtId="0" fontId="7" fillId="5" borderId="1" applyAlignment="1" pivotButton="0" quotePrefix="0" xfId="0">
      <alignment horizontal="left" vertical="center" wrapText="1"/>
    </xf>
    <xf numFmtId="0" fontId="8" fillId="5" borderId="1" applyAlignment="1" pivotButton="0" quotePrefix="0" xfId="0">
      <alignment horizontal="left" vertical="center" wrapText="1"/>
    </xf>
    <xf numFmtId="0" fontId="9" fillId="2" borderId="2" applyAlignment="1" pivotButton="0" quotePrefix="0" xfId="0">
      <alignment horizontal="left" vertical="center" wrapText="1"/>
    </xf>
    <xf numFmtId="0" fontId="9" fillId="2" borderId="1" applyAlignment="1" pivotButton="0" quotePrefix="0" xfId="0">
      <alignment horizontal="center" vertical="center" wrapText="1"/>
    </xf>
    <xf numFmtId="0" fontId="10" fillId="5" borderId="2" applyAlignment="1" pivotButton="0" quotePrefix="0" xfId="0">
      <alignment horizontal="left" vertical="center" wrapText="1"/>
    </xf>
    <xf numFmtId="164" fontId="6" fillId="0" borderId="2" applyAlignment="1" pivotButton="0" quotePrefix="0" xfId="0">
      <alignment horizontal="center" vertical="center"/>
    </xf>
    <xf numFmtId="0" fontId="0" fillId="0" borderId="7" pivotButton="0" quotePrefix="0" xfId="0"/>
    <xf numFmtId="0" fontId="11" fillId="5" borderId="2" applyAlignment="1" pivotButton="0" quotePrefix="0" xfId="0">
      <alignment horizontal="left" vertical="center" wrapText="1"/>
    </xf>
    <xf numFmtId="0" fontId="12" fillId="6" borderId="1" applyAlignment="1" pivotButton="0" quotePrefix="0" xfId="0">
      <alignment horizontal="left" vertical="center" wrapText="1"/>
    </xf>
    <xf numFmtId="164" fontId="13" fillId="6" borderId="2" applyAlignment="1" pivotButton="0" quotePrefix="0" xfId="0">
      <alignment horizontal="center" vertical="center" wrapText="1"/>
    </xf>
    <xf numFmtId="0" fontId="11" fillId="5" borderId="1" applyAlignment="1" pivotButton="0" quotePrefix="0" xfId="0">
      <alignment horizontal="left" vertical="center" wrapText="1"/>
    </xf>
    <xf numFmtId="0" fontId="8" fillId="5" borderId="3" applyAlignment="1" pivotButton="0" quotePrefix="0" xfId="0">
      <alignment horizontal="left" vertical="top" wrapText="1"/>
    </xf>
    <xf numFmtId="0" fontId="0" fillId="0" borderId="4" pivotButton="0" quotePrefix="0" xfId="0"/>
    <xf numFmtId="0" fontId="0" fillId="0" borderId="8" pivotButton="0" quotePrefix="0" xfId="0"/>
    <xf numFmtId="0" fontId="14" fillId="2" borderId="0" applyAlignment="1" pivotButton="0" quotePrefix="0" xfId="0">
      <alignment horizontal="left" vertical="center" wrapText="1"/>
    </xf>
    <xf numFmtId="0" fontId="7" fillId="7" borderId="1" applyAlignment="1" pivotButton="0" quotePrefix="0" xfId="0">
      <alignment horizontal="left" vertical="center" wrapText="1"/>
    </xf>
    <xf numFmtId="0" fontId="9" fillId="3" borderId="2" applyAlignment="1" pivotButton="0" quotePrefix="0" xfId="0">
      <alignment horizontal="center" vertical="center" wrapText="1"/>
    </xf>
    <xf numFmtId="0" fontId="8" fillId="5" borderId="2" applyAlignment="1" pivotButton="0" quotePrefix="0" xfId="0">
      <alignment horizontal="left" vertical="center" wrapText="1"/>
    </xf>
    <xf numFmtId="0" fontId="8" fillId="5" borderId="2" applyAlignment="1" pivotButton="0" quotePrefix="0" xfId="0">
      <alignment horizontal="center" vertical="center" wrapText="1"/>
    </xf>
    <xf numFmtId="0" fontId="15" fillId="4" borderId="2" applyAlignment="1" pivotButton="0" quotePrefix="0" xfId="0">
      <alignment horizontal="center" vertical="center" wrapText="1"/>
    </xf>
    <xf numFmtId="164" fontId="7" fillId="5" borderId="2" applyAlignment="1" pivotButton="0" quotePrefix="0" xfId="0">
      <alignment horizontal="center" vertical="center" wrapText="1"/>
    </xf>
    <xf numFmtId="0" fontId="16" fillId="8" borderId="2" applyAlignment="1" pivotButton="0" quotePrefix="0" xfId="0">
      <alignment horizontal="center" vertical="center" wrapText="1"/>
    </xf>
    <xf numFmtId="0" fontId="17" fillId="9" borderId="1" applyAlignment="1" pivotButton="0" quotePrefix="0" xfId="0">
      <alignment horizontal="left" vertical="center" wrapText="1"/>
    </xf>
    <xf numFmtId="0" fontId="18" fillId="9" borderId="2" applyAlignment="1" pivotButton="0" quotePrefix="0" xfId="0">
      <alignment horizontal="center" vertical="center" wrapText="1"/>
    </xf>
    <xf numFmtId="0" fontId="9" fillId="2" borderId="1" applyAlignment="1" pivotButton="0" quotePrefix="0" xfId="0">
      <alignment horizontal="left" vertical="center" wrapText="1"/>
    </xf>
    <xf numFmtId="0" fontId="19" fillId="5" borderId="2" applyAlignment="1" pivotButton="0" quotePrefix="0" xfId="0">
      <alignment horizontal="left" vertical="center" wrapText="1"/>
    </xf>
    <xf numFmtId="0" fontId="20" fillId="7" borderId="2" applyAlignment="1" pivotButton="0" quotePrefix="0" xfId="0">
      <alignment horizontal="center" vertical="center" wrapText="1"/>
    </xf>
    <xf numFmtId="0" fontId="19" fillId="6" borderId="2" applyAlignment="1" pivotButton="0" quotePrefix="0" xfId="0">
      <alignment horizontal="center" vertical="center" wrapText="1"/>
    </xf>
    <xf numFmtId="0" fontId="7" fillId="4" borderId="1" applyAlignment="1" pivotButton="0" quotePrefix="0" xfId="0">
      <alignment horizontal="left" vertical="center" wrapText="1"/>
    </xf>
    <xf numFmtId="0" fontId="21" fillId="4" borderId="1" applyAlignment="1" pivotButton="0" quotePrefix="0" xfId="0">
      <alignment horizontal="left" vertical="center" wrapText="1"/>
    </xf>
    <xf numFmtId="0" fontId="11" fillId="5" borderId="2" applyAlignment="1" pivotButton="0" quotePrefix="0" xfId="0">
      <alignment horizontal="center" vertical="center" wrapText="1"/>
    </xf>
    <xf numFmtId="0" fontId="18" fillId="4" borderId="2" applyAlignment="1" pivotButton="0" quotePrefix="0" xfId="0">
      <alignment horizontal="center" vertical="center" wrapText="1"/>
    </xf>
    <xf numFmtId="0" fontId="11" fillId="4" borderId="2" applyAlignment="1" pivotButton="0" quotePrefix="0" xfId="0">
      <alignment horizontal="center" vertical="center" wrapText="1"/>
    </xf>
    <xf numFmtId="164" fontId="22" fillId="4" borderId="2" applyAlignment="1" pivotButton="0" quotePrefix="0" xfId="0">
      <alignment horizontal="center" vertical="center" wrapText="1"/>
    </xf>
    <xf numFmtId="0" fontId="23" fillId="5" borderId="2"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BC9"/>
      <rgbColor rgb="FF808080"/>
      <rgbColor rgb="FF9999FF"/>
      <rgbColor rgb="FF993366"/>
      <rgbColor rgb="FFFFF2CC"/>
      <rgbColor rgb="FFEEF0F6"/>
      <rgbColor rgb="FF660066"/>
      <rgbColor rgb="FFFF8080"/>
      <rgbColor rgb="FF1155CC"/>
      <rgbColor rgb="FFD9DCE8"/>
      <rgbColor rgb="FF000080"/>
      <rgbColor rgb="FFFF00FF"/>
      <rgbColor rgb="FFFFFF00"/>
      <rgbColor rgb="FF00FFFF"/>
      <rgbColor rgb="FF800080"/>
      <rgbColor rgb="FF800000"/>
      <rgbColor rgb="FF008080"/>
      <rgbColor rgb="FF0000FF"/>
      <rgbColor rgb="FF00CCFF"/>
      <rgbColor rgb="FFCCFFFF"/>
      <rgbColor rgb="FFE2EFDA"/>
      <rgbColor rgb="FFFCE9D6"/>
      <rgbColor rgb="FF99CCFF"/>
      <rgbColor rgb="FFFF99CC"/>
      <rgbColor rgb="FFCC99FF"/>
      <rgbColor rgb="FFFFCC99"/>
      <rgbColor rgb="FF3366FF"/>
      <rgbColor rgb="FF33CCCC"/>
      <rgbColor rgb="FF99CC00"/>
      <rgbColor rgb="FFFFCC00"/>
      <rgbColor rgb="FFFF9900"/>
      <rgbColor rgb="FFFF6600"/>
      <rgbColor rgb="FF595959"/>
      <rgbColor rgb="FF969696"/>
      <rgbColor rgb="FF1F4E79"/>
      <rgbColor rgb="FF339966"/>
      <rgbColor rgb="FF003300"/>
      <rgbColor rgb="FF375623"/>
      <rgbColor rgb="FF843C0C"/>
      <rgbColor rgb="FF993366"/>
      <rgbColor rgb="FF3C4690"/>
      <rgbColor rgb="FF252D5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Relationships xmlns="http://schemas.openxmlformats.org/package/2006/relationships"><Relationship Type="http://schemas.openxmlformats.org/officeDocument/2006/relationships/hyperlink" Target="https://www.tourisme-rennes.com/decouvrir-rennes/insolite/quiz-room/" TargetMode="External" Id="rId1"/><Relationship Type="http://schemas.openxmlformats.org/officeDocument/2006/relationships/hyperlink" Target="https://www.funbooker.com/fr/presentation/quiz-room-rennes/funpro" TargetMode="External" Id="rId2"/><Relationship Type="http://schemas.openxmlformats.org/officeDocument/2006/relationships/hyperlink" Target="https://brain-rennes.fr/tarifs/" TargetMode="External" Id="rId3"/><Relationship Type="http://schemas.openxmlformats.org/officeDocument/2006/relationships/hyperlink" Target="https://brain-rennes.fr/buzz-andquiz-game/" TargetMode="External" Id="rId4"/><Relationship Type="http://schemas.openxmlformats.org/officeDocument/2006/relationships/hyperlink" Target="https://buzzparty.fr/reserver/" TargetMode="External" Id="rId5"/><Relationship Type="http://schemas.openxmlformats.org/officeDocument/2006/relationships/hyperlink" Target="https://www.lorientbretagnesudtourisme.fr/fr/fiche/quiz-room-lorient_TFOVQUIZROOM/" TargetMode="External" Id="rId6"/><Relationship Type="http://schemas.openxmlformats.org/officeDocument/2006/relationships/hyperlink" Target="https://www.quiz-room.com/en/reservation/saint-brieuc" TargetMode="External" Id="rId7"/><Relationship Type="http://schemas.openxmlformats.org/officeDocument/2006/relationships/hyperlink" Target="https://musiquizlejeu.fr/en/nos-centres-rennes/" TargetMode="External" Id="rId8"/><Relationship Type="http://schemas.openxmlformats.org/officeDocument/2006/relationships/hyperlink" Target="https://kampus137.fr/activite/espace-kwizz/" TargetMode="External" Id="rId9"/><Relationship Type="http://schemas.openxmlformats.org/officeDocument/2006/relationships/hyperlink" Target="https://www.newjump.com/tarifs/" TargetMode="External" Id="rId10"/></Relationships>
</file>

<file path=xl/worksheets/sheet1.xml><?xml version="1.0" encoding="utf-8"?>
<worksheet xmlns="http://schemas.openxmlformats.org/spreadsheetml/2006/main">
  <sheetPr filterMode="0">
    <outlinePr summaryBelow="1" summaryRight="1"/>
    <pageSetUpPr fitToPage="0"/>
  </sheetPr>
  <dimension ref="B2:F2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 customWidth="1" style="38" min="1" max="1"/>
    <col width="30" customWidth="1" style="38" min="2" max="2"/>
    <col width="22" customWidth="1" style="38" min="3" max="5"/>
    <col width="14" customWidth="1" style="38" min="6" max="6"/>
  </cols>
  <sheetData>
    <row r="2" ht="27.75" customHeight="1" s="39">
      <c r="B2" s="40" t="inlineStr">
        <is>
          <t>BENCHMARK PRIX — SALLES DE QUIZ / BUZZER  ·  Bretagne / zone de Crevin</t>
        </is>
      </c>
    </row>
    <row r="3" ht="18" customHeight="1" s="39">
      <c r="B3" s="41" t="inlineStr">
        <is>
          <t>Comparables directs de l'espace la salle de quiz du client (Le client)  ·  Données relevées le 25/06/2026  ·  Prix TTC par personne / par session</t>
        </is>
      </c>
    </row>
    <row r="5" ht="19.5" customHeight="1" s="39">
      <c r="B5" s="42" t="inlineStr">
        <is>
          <t>⚠  3 constats qui nuancent la piste « on est trop cher »</t>
        </is>
      </c>
      <c r="C5" s="43" t="n"/>
      <c r="D5" s="43" t="n"/>
      <c r="E5" s="43" t="n"/>
      <c r="F5" s="43" t="n"/>
    </row>
    <row r="6" ht="15.75" customHeight="1" s="39">
      <c r="B6" s="44" t="inlineStr">
        <is>
          <t>1. Le format 30 min n'existe quasiment pas chez les concurrents.</t>
        </is>
      </c>
      <c r="C6" s="43" t="n"/>
      <c r="D6" s="43" t="n"/>
      <c r="E6" s="43" t="n"/>
      <c r="F6" s="43" t="n"/>
    </row>
    <row r="7" ht="42" customHeight="1" s="39">
      <c r="B7" s="45" t="inlineStr">
        <is>
          <t>Enseigne A, Enseigne B et Enseigne C ne vendent QUE des sessions d'1h. Le standard du marché breton est 1h. Ton la salle de quiz du client (25 / 45 min) est l'exception : il n'y a donc presque aucun comparable de prix sur 30 min.</t>
        </is>
      </c>
      <c r="C7" s="43" t="n"/>
      <c r="D7" s="43" t="n"/>
      <c r="E7" s="43" t="n"/>
      <c r="F7" s="43" t="n"/>
    </row>
    <row r="8" ht="15.75" customHeight="1" s="39">
      <c r="B8" s="44" t="inlineStr">
        <is>
          <t>2. Aucune salle de quiz dédiée en zone rurale autour de Crevin.</t>
        </is>
      </c>
      <c r="C8" s="43" t="n"/>
      <c r="D8" s="43" t="n"/>
      <c r="E8" s="43" t="n"/>
      <c r="F8" s="43" t="n"/>
    </row>
    <row r="9" ht="42" customHeight="1" s="39">
      <c r="B9" s="45" t="inlineStr">
        <is>
          <t>Recherche menée sur Bain-de-Bretagne, Redon, Janzé, Bruz, Châteaubriant : aucune salle quiz/buzzer. Tu n'es donc PAS concurrencé par une offre moins chère localement. Tes comparables sont tous urbains (Rennes ~20 min, puis Vannes/Lorient/Saint-Brieuc à 1h+).</t>
        </is>
      </c>
      <c r="C9" s="43" t="n"/>
      <c r="D9" s="43" t="n"/>
      <c r="E9" s="43" t="n"/>
      <c r="F9" s="43" t="n"/>
    </row>
    <row r="10" ht="15.75" customHeight="1" s="39">
      <c r="B10" s="44" t="inlineStr">
        <is>
          <t>3. Le marché 1h est très resserré autour de 20 € / pers (tarif plein).</t>
        </is>
      </c>
      <c r="C10" s="43" t="n"/>
      <c r="D10" s="43" t="n"/>
      <c r="E10" s="43" t="n"/>
      <c r="F10" s="43" t="n"/>
    </row>
    <row r="11" ht="42" customHeight="1" s="39">
      <c r="B11" s="45" t="inlineStr">
        <is>
          <t>Enseigne A — Rennes 20 €, Enseigne B 20 €, Enseigne C 20 € (heure pleine). Les écarts viennent surtout des heures creuses (jusqu'à 13-15 €) et des tarifs enfant/étudiant, pas du prix de base.</t>
        </is>
      </c>
      <c r="C11" s="43" t="n"/>
      <c r="D11" s="43" t="n"/>
      <c r="E11" s="43" t="n"/>
      <c r="F11" s="43" t="n"/>
    </row>
    <row r="13" ht="19.5" customHeight="1" s="39">
      <c r="B13" s="42" t="inlineStr">
        <is>
          <t>Repère de marché — session d'1 h, tarif plein adulte (données confirmées)</t>
        </is>
      </c>
      <c r="C13" s="43" t="n"/>
      <c r="D13" s="43" t="n"/>
      <c r="E13" s="43" t="n"/>
      <c r="F13" s="43" t="n"/>
    </row>
    <row r="14" ht="15" customHeight="1" s="39">
      <c r="B14" s="46" t="inlineStr">
        <is>
          <t>Indicateur (1h, tarif plein adulte)</t>
        </is>
      </c>
      <c r="C14" s="47" t="inlineStr">
        <is>
          <t>Valeur</t>
        </is>
      </c>
      <c r="D14" s="43" t="n"/>
      <c r="E14" s="47" t="inlineStr">
        <is>
          <t>Base de calcul</t>
        </is>
      </c>
      <c r="F14" s="43" t="n"/>
    </row>
    <row r="15" ht="15" customHeight="1" s="39">
      <c r="B15" s="48" t="inlineStr">
        <is>
          <t>Prix plancher (heure pleine)</t>
        </is>
      </c>
      <c r="C15" s="49">
        <f>MIN('Benchmark 1h'!G4,'Benchmark 1h'!G7,'Benchmark 1h'!G9)</f>
        <v/>
      </c>
      <c r="D15" s="50" t="n"/>
      <c r="E15" s="51" t="inlineStr">
        <is>
          <t>Enseigne A / Enseigne B / Enseigne C</t>
        </is>
      </c>
      <c r="F15" s="50" t="n"/>
    </row>
    <row r="16" ht="15" customHeight="1" s="39">
      <c r="B16" s="48" t="inlineStr">
        <is>
          <t>Prix médian observé</t>
        </is>
      </c>
      <c r="C16" s="49">
        <f>MEDIAN('Benchmark 1h'!G4,'Benchmark 1h'!G7,'Benchmark 1h'!G9)</f>
        <v/>
      </c>
      <c r="D16" s="50" t="n"/>
      <c r="E16" s="51" t="inlineStr">
        <is>
          <t>3 enseignes confirmées, tarif plein adulte</t>
        </is>
      </c>
      <c r="F16" s="50" t="n"/>
    </row>
    <row r="17" ht="15" customHeight="1" s="39">
      <c r="B17" s="48" t="inlineStr">
        <is>
          <t>Prix le plus élevé (petit groupe 4-5)</t>
        </is>
      </c>
      <c r="C17" s="49">
        <f>'Benchmark 1h'!G5</f>
        <v/>
      </c>
      <c r="D17" s="50" t="n"/>
      <c r="E17" s="51" t="inlineStr">
        <is>
          <t>Enseigne A — Rennes, groupe de 4-5 joueurs</t>
        </is>
      </c>
      <c r="F17" s="50" t="n"/>
    </row>
    <row r="18" ht="23.25" customHeight="1" s="39">
      <c r="B18" s="48" t="inlineStr">
        <is>
          <t>Prix le plus bas observé toutes catégories</t>
        </is>
      </c>
      <c r="C18" s="49">
        <f>MIN('Benchmark 1h'!G4:G14)</f>
        <v/>
      </c>
      <c r="D18" s="50" t="n"/>
      <c r="E18" s="51" t="inlineStr">
        <is>
          <t>Inclut heures creuses + tarif enfant</t>
        </is>
      </c>
      <c r="F18" s="50" t="n"/>
    </row>
    <row r="20" ht="27.75" customHeight="1" s="39">
      <c r="B20" s="52" t="inlineStr">
        <is>
          <t>À COMPLÉTER PAR TOI — ton tarif la salle de quiz du client n'est pas public (affiché en image sur le site, non extractible)</t>
        </is>
      </c>
      <c r="C20" s="43" t="n"/>
      <c r="D20" s="43" t="n"/>
      <c r="E20" s="43" t="n"/>
      <c r="F20" s="43" t="n"/>
    </row>
    <row r="21" ht="23.25" customHeight="1" s="39">
      <c r="B21" s="48" t="inlineStr">
        <is>
          <t>Prix la salle de quiz du client / pers — session 45 min (9 manches)</t>
        </is>
      </c>
      <c r="C21" s="53" t="n"/>
      <c r="D21" s="54" t="inlineStr">
        <is>
          <t>← saisis ton prix ; comparer à 20 €/1h du marché urbain</t>
        </is>
      </c>
      <c r="E21" s="43" t="n"/>
      <c r="F21" s="43" t="n"/>
    </row>
    <row r="22" ht="23.25" customHeight="1" s="39">
      <c r="B22" s="48" t="inlineStr">
        <is>
          <t>Prix la salle de quiz du client / pers — session 25 min (4 manches)</t>
        </is>
      </c>
      <c r="C22" s="53" t="n"/>
      <c r="D22" s="54" t="inlineStr">
        <is>
          <t>← saisis ton prix ; aucun comparable 30 min sur le marché</t>
        </is>
      </c>
      <c r="E22" s="43" t="n"/>
      <c r="F22" s="43" t="n"/>
    </row>
    <row r="24" ht="15" customHeight="1" s="39">
      <c r="B24" s="42" t="inlineStr">
        <is>
          <t>Lecture rapide</t>
        </is>
      </c>
      <c r="C24" s="43" t="n"/>
      <c r="D24" s="43" t="n"/>
      <c r="E24" s="43" t="n"/>
      <c r="F24" s="43" t="n"/>
    </row>
    <row r="25" ht="15" customHeight="1" s="39">
      <c r="B25" s="55" t="inlineStr">
        <is>
          <t>Avant de baisser les prix, vérifie l'hypothèse : sur 1h le marché est à 20 € quasi partout, et tu n'as aucun concurrent rural moins cher. Si ton la salle de quiz du client est sous ou autour de 20 €/45 min, le prix n'est probablement PAS le frein principal. Pistes plus probables (à creuser) : visibilité/réservation en ligne dédiée, immersion « plateau TV » (un avis Google regrette justement le manque d'effet TV type Maillon Faible), positionnement à la carte vs activité phare, et exploitation des créneaux creux semaine (B2B / EVG-EVJF / anniversaires).</t>
        </is>
      </c>
      <c r="C25" s="56" t="n"/>
      <c r="D25" s="56" t="n"/>
      <c r="E25" s="56" t="n"/>
      <c r="F25" s="56" t="n"/>
    </row>
    <row r="26" ht="15" customHeight="1" s="39">
      <c r="B26" s="57" t="n"/>
    </row>
    <row r="27" ht="15" customHeight="1" s="39">
      <c r="B27" s="57" t="n"/>
    </row>
    <row r="28" ht="15" customHeight="1" s="39">
      <c r="B28" s="57" t="n"/>
    </row>
  </sheetData>
  <mergeCells count="25">
    <mergeCell ref="B7:F7"/>
    <mergeCell ref="C15:D15"/>
    <mergeCell ref="B3:F3"/>
    <mergeCell ref="C14:D14"/>
    <mergeCell ref="E14:F14"/>
    <mergeCell ref="E17:F17"/>
    <mergeCell ref="C16:D16"/>
    <mergeCell ref="B2:F2"/>
    <mergeCell ref="B11:F11"/>
    <mergeCell ref="B8:F8"/>
    <mergeCell ref="B13:F13"/>
    <mergeCell ref="E15:F15"/>
    <mergeCell ref="B10:F10"/>
    <mergeCell ref="B25:F28"/>
    <mergeCell ref="C17:D17"/>
    <mergeCell ref="B9:F9"/>
    <mergeCell ref="B6:F6"/>
    <mergeCell ref="E16:F16"/>
    <mergeCell ref="B24:F24"/>
    <mergeCell ref="B20:F20"/>
    <mergeCell ref="D22:F22"/>
    <mergeCell ref="B5:F5"/>
    <mergeCell ref="C18:D18"/>
    <mergeCell ref="D21:F21"/>
    <mergeCell ref="E18:F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2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4" customWidth="1" style="38" min="1" max="1"/>
    <col width="20" customWidth="1" style="38" min="2" max="2"/>
    <col width="16" customWidth="1" style="38" min="3" max="3"/>
    <col width="26" customWidth="1" style="38" min="4" max="4"/>
    <col width="24" customWidth="1" style="38" min="5" max="5"/>
    <col width="18" customWidth="1" style="38" min="6" max="6"/>
    <col width="13" customWidth="1" style="38" min="7" max="7"/>
    <col width="22" customWidth="1" style="38" min="8" max="8"/>
    <col width="26" customWidth="1" style="38" min="9" max="9"/>
    <col width="30" customWidth="1" style="38" min="10" max="10"/>
  </cols>
  <sheetData>
    <row r="1" ht="24" customHeight="1" s="39">
      <c r="A1" s="58" t="inlineStr">
        <is>
          <t>BENCHMARK — SESSIONS DE QUIZ ~ 1 HEURE  ·  prix par personne par session  ·  relevé 25/06/2026</t>
        </is>
      </c>
    </row>
    <row r="2" ht="15" customHeight="1" s="39">
      <c r="A2" s="59" t="inlineStr">
        <is>
          <t>GRANDES VILLES — agglomération de Rennes</t>
        </is>
      </c>
      <c r="B2" s="43" t="n"/>
      <c r="C2" s="43" t="n"/>
      <c r="D2" s="43" t="n"/>
      <c r="E2" s="43" t="n"/>
      <c r="F2" s="43" t="n"/>
      <c r="G2" s="43" t="n"/>
      <c r="H2" s="43" t="n"/>
      <c r="I2" s="43" t="n"/>
      <c r="J2" s="43" t="n"/>
    </row>
    <row r="3" ht="30" customHeight="1" s="39">
      <c r="A3" s="60" t="inlineStr">
        <is>
          <t>Enseigne</t>
        </is>
      </c>
      <c r="B3" s="60" t="inlineStr">
        <is>
          <t>Ville (CP)</t>
        </is>
      </c>
      <c r="C3" s="60" t="inlineStr">
        <is>
          <t>Zone</t>
        </is>
      </c>
      <c r="D3" s="60" t="inlineStr">
        <is>
          <t>Concept / format</t>
        </is>
      </c>
      <c r="E3" s="60" t="inlineStr">
        <is>
          <t>Public ou créneau</t>
        </is>
      </c>
      <c r="F3" s="60" t="inlineStr">
        <is>
          <t>Durée session</t>
        </is>
      </c>
      <c r="G3" s="60" t="inlineStr">
        <is>
          <t>Prix / pers (€)</t>
        </is>
      </c>
      <c r="H3" s="60" t="inlineStr">
        <is>
          <t>Capacité &amp; âge</t>
        </is>
      </c>
      <c r="I3" s="60" t="inlineStr">
        <is>
          <t>Fiabilité</t>
        </is>
      </c>
      <c r="J3" s="60" t="inlineStr">
        <is>
          <t>Source</t>
        </is>
      </c>
    </row>
    <row r="4" ht="30" customHeight="1" s="39">
      <c r="A4" s="61" t="inlineStr">
        <is>
          <t>Enseigne A — Rennes</t>
        </is>
      </c>
      <c r="B4" s="62" t="inlineStr">
        <is>
          <t>Rennes (35000)</t>
        </is>
      </c>
      <c r="C4" s="63" t="inlineStr">
        <is>
          <t>Grande ville</t>
        </is>
      </c>
      <c r="D4" s="61" t="inlineStr">
        <is>
          <t>Salle quiz buzzer, décor plateau TV</t>
        </is>
      </c>
      <c r="E4" s="61" t="inlineStr">
        <is>
          <t>Standard (6 à 18 joueurs)</t>
        </is>
      </c>
      <c r="F4" s="62" t="inlineStr">
        <is>
          <t>~1h (jeu 1h-1h10)</t>
        </is>
      </c>
      <c r="G4" s="64" t="n">
        <v>20</v>
      </c>
      <c r="H4" s="62" t="inlineStr">
        <is>
          <t>4-18 j · dès 15 ans</t>
        </is>
      </c>
      <c r="I4" s="65" t="inlineStr">
        <is>
          <t>Confirmé (2 sources)</t>
        </is>
      </c>
      <c r="J4" s="61" t="inlineStr">
        <is>
          <t>tourisme-rennes.com / funbooker.com</t>
        </is>
      </c>
    </row>
    <row r="5" ht="30" customHeight="1" s="39">
      <c r="A5" s="61" t="inlineStr">
        <is>
          <t>Enseigne A — Rennes</t>
        </is>
      </c>
      <c r="B5" s="62" t="inlineStr">
        <is>
          <t>Rennes (35000)</t>
        </is>
      </c>
      <c r="C5" s="63" t="inlineStr">
        <is>
          <t>Grande ville</t>
        </is>
      </c>
      <c r="D5" s="61" t="inlineStr">
        <is>
          <t>Salle quiz buzzer</t>
        </is>
      </c>
      <c r="E5" s="61" t="inlineStr">
        <is>
          <t>Petit groupe (4-5 joueurs)</t>
        </is>
      </c>
      <c r="F5" s="62" t="inlineStr">
        <is>
          <t>~1h</t>
        </is>
      </c>
      <c r="G5" s="64" t="n">
        <v>24</v>
      </c>
      <c r="H5" s="62" t="inlineStr">
        <is>
          <t>4-5 j</t>
        </is>
      </c>
      <c r="I5" s="65" t="inlineStr">
        <is>
          <t>Confirmé</t>
        </is>
      </c>
      <c r="J5" s="61" t="inlineStr">
        <is>
          <t>tourisme-rennes.com</t>
        </is>
      </c>
    </row>
    <row r="6" ht="30" customHeight="1" s="39">
      <c r="A6" s="61" t="inlineStr">
        <is>
          <t>Enseigne A — Rennes</t>
        </is>
      </c>
      <c r="B6" s="62" t="inlineStr">
        <is>
          <t>Rennes (35000)</t>
        </is>
      </c>
      <c r="C6" s="63" t="inlineStr">
        <is>
          <t>Grande ville</t>
        </is>
      </c>
      <c r="D6" s="61" t="inlineStr">
        <is>
          <t>Salle quiz buzzer</t>
        </is>
      </c>
      <c r="E6" s="61" t="inlineStr">
        <is>
          <t>Étudiant (semaine 10h-16h, 6+)</t>
        </is>
      </c>
      <c r="F6" s="62" t="inlineStr">
        <is>
          <t>~1h</t>
        </is>
      </c>
      <c r="G6" s="64" t="n">
        <v>18</v>
      </c>
      <c r="H6" s="62" t="inlineStr">
        <is>
          <t>dès 6 j</t>
        </is>
      </c>
      <c r="I6" s="65" t="inlineStr">
        <is>
          <t>Confirmé</t>
        </is>
      </c>
      <c r="J6" s="61" t="inlineStr">
        <is>
          <t>tourisme-rennes.com</t>
        </is>
      </c>
    </row>
    <row r="7" ht="30" customHeight="1" s="39">
      <c r="A7" s="61" t="inlineStr">
        <is>
          <t>Enseigne B</t>
        </is>
      </c>
      <c r="B7" s="62" t="inlineStr">
        <is>
          <t>Vezin-le-Coquet (35310)</t>
        </is>
      </c>
      <c r="C7" s="63" t="inlineStr">
        <is>
          <t>Grande ville</t>
        </is>
      </c>
      <c r="D7" s="61" t="inlineStr">
        <is>
          <t>Quiz game type escape, buzz room</t>
        </is>
      </c>
      <c r="E7" s="61" t="inlineStr">
        <is>
          <t>Standard (à partir de)</t>
        </is>
      </c>
      <c r="F7" s="62" t="inlineStr">
        <is>
          <t>1h (1h15-1h30 sur pl.)</t>
        </is>
      </c>
      <c r="G7" s="64" t="n">
        <v>20</v>
      </c>
      <c r="H7" s="62" t="inlineStr">
        <is>
          <t>4-16 j/salle · dès 8 ans</t>
        </is>
      </c>
      <c r="I7" s="65" t="inlineStr">
        <is>
          <t>Confirmé</t>
        </is>
      </c>
      <c r="J7" s="61" t="inlineStr">
        <is>
          <t>[site officiel de l'enseigne]/tarifs</t>
        </is>
      </c>
    </row>
    <row r="8" ht="15" customHeight="1" s="39">
      <c r="A8" s="59" t="inlineStr">
        <is>
          <t>VILLES MOYENNES — Vannes / Lorient / Saint-Brieuc</t>
        </is>
      </c>
      <c r="B8" s="43" t="n"/>
      <c r="C8" s="43" t="n"/>
      <c r="D8" s="43" t="n"/>
      <c r="E8" s="43" t="n"/>
      <c r="F8" s="43" t="n"/>
      <c r="G8" s="43" t="n"/>
      <c r="H8" s="43" t="n"/>
      <c r="I8" s="43" t="n"/>
      <c r="J8" s="43" t="n"/>
    </row>
    <row r="9" ht="27.75" customHeight="1" s="39">
      <c r="A9" s="61" t="inlineStr">
        <is>
          <t>Enseigne C</t>
        </is>
      </c>
      <c r="B9" s="62" t="inlineStr">
        <is>
          <t>Séné / Vannes (56860)</t>
        </is>
      </c>
      <c r="C9" s="63" t="inlineStr">
        <is>
          <t>Ville moyenne</t>
        </is>
      </c>
      <c r="D9" s="61" t="inlineStr">
        <is>
          <t>Quiz &amp; blind test, 2 salles buzz</t>
        </is>
      </c>
      <c r="E9" s="61" t="inlineStr">
        <is>
          <t>Adulte — heure pleine</t>
        </is>
      </c>
      <c r="F9" s="62" t="inlineStr">
        <is>
          <t>1h</t>
        </is>
      </c>
      <c r="G9" s="64" t="n">
        <v>20</v>
      </c>
      <c r="H9" s="62" t="inlineStr">
        <is>
          <t>4-16 j/salle · dès 8 ans</t>
        </is>
      </c>
      <c r="I9" s="65" t="inlineStr">
        <is>
          <t>Confirmé</t>
        </is>
      </c>
      <c r="J9" s="61" t="inlineStr">
        <is>
          <t>buzzparty.fr/reserver</t>
        </is>
      </c>
    </row>
    <row r="10" ht="27.75" customHeight="1" s="39">
      <c r="A10" s="61" t="inlineStr">
        <is>
          <t>Enseigne C</t>
        </is>
      </c>
      <c r="B10" s="62" t="inlineStr">
        <is>
          <t>Séné / Vannes (56860)</t>
        </is>
      </c>
      <c r="C10" s="63" t="inlineStr">
        <is>
          <t>Ville moyenne</t>
        </is>
      </c>
      <c r="D10" s="61" t="inlineStr">
        <is>
          <t>Quiz &amp; blind test</t>
        </is>
      </c>
      <c r="E10" s="61" t="inlineStr">
        <is>
          <t>Adulte — heure creuse</t>
        </is>
      </c>
      <c r="F10" s="62" t="inlineStr">
        <is>
          <t>1h</t>
        </is>
      </c>
      <c r="G10" s="64" t="n">
        <v>15</v>
      </c>
      <c r="H10" s="62" t="inlineStr">
        <is>
          <t>lun/mer/jeu/ven 14h-18h</t>
        </is>
      </c>
      <c r="I10" s="65" t="inlineStr">
        <is>
          <t>Confirmé</t>
        </is>
      </c>
      <c r="J10" s="61" t="inlineStr">
        <is>
          <t>buzzparty.fr/reserver</t>
        </is>
      </c>
    </row>
    <row r="11" ht="27.75" customHeight="1" s="39">
      <c r="A11" s="61" t="inlineStr">
        <is>
          <t>Enseigne C</t>
        </is>
      </c>
      <c r="B11" s="62" t="inlineStr">
        <is>
          <t>Séné / Vannes (56860)</t>
        </is>
      </c>
      <c r="C11" s="63" t="inlineStr">
        <is>
          <t>Ville moyenne</t>
        </is>
      </c>
      <c r="D11" s="61" t="inlineStr">
        <is>
          <t>Quiz &amp; blind test</t>
        </is>
      </c>
      <c r="E11" s="61" t="inlineStr">
        <is>
          <t>Ado/Étudiant 13-17 — HP</t>
        </is>
      </c>
      <c r="F11" s="62" t="inlineStr">
        <is>
          <t>1h</t>
        </is>
      </c>
      <c r="G11" s="64" t="n">
        <v>18</v>
      </c>
      <c r="H11" s="62" t="inlineStr">
        <is>
          <t>sur justificatif</t>
        </is>
      </c>
      <c r="I11" s="65" t="inlineStr">
        <is>
          <t>Confirmé</t>
        </is>
      </c>
      <c r="J11" s="61" t="inlineStr">
        <is>
          <t>buzzparty.fr/reserver</t>
        </is>
      </c>
    </row>
    <row r="12" ht="27.75" customHeight="1" s="39">
      <c r="A12" s="61" t="inlineStr">
        <is>
          <t>Enseigne C</t>
        </is>
      </c>
      <c r="B12" s="62" t="inlineStr">
        <is>
          <t>Séné / Vannes (56860)</t>
        </is>
      </c>
      <c r="C12" s="63" t="inlineStr">
        <is>
          <t>Ville moyenne</t>
        </is>
      </c>
      <c r="D12" s="61" t="inlineStr">
        <is>
          <t>Quiz &amp; blind test</t>
        </is>
      </c>
      <c r="E12" s="61" t="inlineStr">
        <is>
          <t>Ado/Étudiant 13-17 — HC</t>
        </is>
      </c>
      <c r="F12" s="62" t="inlineStr">
        <is>
          <t>1h</t>
        </is>
      </c>
      <c r="G12" s="64" t="n">
        <v>14</v>
      </c>
      <c r="H12" s="62" t="inlineStr">
        <is>
          <t>sur justificatif</t>
        </is>
      </c>
      <c r="I12" s="65" t="inlineStr">
        <is>
          <t>Confirmé</t>
        </is>
      </c>
      <c r="J12" s="61" t="inlineStr">
        <is>
          <t>buzzparty.fr/reserver</t>
        </is>
      </c>
    </row>
    <row r="13" ht="27.75" customHeight="1" s="39">
      <c r="A13" s="61" t="inlineStr">
        <is>
          <t>Enseigne C</t>
        </is>
      </c>
      <c r="B13" s="62" t="inlineStr">
        <is>
          <t>Séné / Vannes (56860)</t>
        </is>
      </c>
      <c r="C13" s="63" t="inlineStr">
        <is>
          <t>Ville moyenne</t>
        </is>
      </c>
      <c r="D13" s="61" t="inlineStr">
        <is>
          <t>Quiz &amp; blind test</t>
        </is>
      </c>
      <c r="E13" s="61" t="inlineStr">
        <is>
          <t>Enfant 8-12 — HP</t>
        </is>
      </c>
      <c r="F13" s="62" t="inlineStr">
        <is>
          <t>1h</t>
        </is>
      </c>
      <c r="G13" s="64" t="n">
        <v>16</v>
      </c>
      <c r="H13" s="62" t="inlineStr">
        <is>
          <t>dès 8 ans</t>
        </is>
      </c>
      <c r="I13" s="65" t="inlineStr">
        <is>
          <t>Confirmé</t>
        </is>
      </c>
      <c r="J13" s="61" t="inlineStr">
        <is>
          <t>buzzparty.fr/reserver</t>
        </is>
      </c>
    </row>
    <row r="14" ht="27.75" customHeight="1" s="39">
      <c r="A14" s="61" t="inlineStr">
        <is>
          <t>Enseigne C</t>
        </is>
      </c>
      <c r="B14" s="62" t="inlineStr">
        <is>
          <t>Séné / Vannes (56860)</t>
        </is>
      </c>
      <c r="C14" s="63" t="inlineStr">
        <is>
          <t>Ville moyenne</t>
        </is>
      </c>
      <c r="D14" s="61" t="inlineStr">
        <is>
          <t>Quiz &amp; blind test</t>
        </is>
      </c>
      <c r="E14" s="61" t="inlineStr">
        <is>
          <t>Enfant 8-12 — HC</t>
        </is>
      </c>
      <c r="F14" s="62" t="inlineStr">
        <is>
          <t>1h</t>
        </is>
      </c>
      <c r="G14" s="64" t="n">
        <v>13</v>
      </c>
      <c r="H14" s="62" t="inlineStr">
        <is>
          <t>dès 8 ans</t>
        </is>
      </c>
      <c r="I14" s="65" t="inlineStr">
        <is>
          <t>Confirmé</t>
        </is>
      </c>
      <c r="J14" s="61" t="inlineStr">
        <is>
          <t>buzzparty.fr/reserver</t>
        </is>
      </c>
    </row>
    <row r="15" ht="15" customHeight="1" s="39">
      <c r="A15" s="66" t="inlineStr">
        <is>
          <t>PRÉSENTS DANS LA ZONE — même concept (franchise Enseigne A) mais tarif NON publié individuellement → non chiffré</t>
        </is>
      </c>
      <c r="B15" s="43" t="n"/>
      <c r="C15" s="43" t="n"/>
      <c r="D15" s="43" t="n"/>
      <c r="E15" s="43" t="n"/>
      <c r="F15" s="43" t="n"/>
      <c r="G15" s="43" t="n"/>
      <c r="H15" s="43" t="n"/>
      <c r="I15" s="43" t="n"/>
      <c r="J15" s="43" t="n"/>
    </row>
    <row r="16" ht="27.75" customHeight="1" s="39">
      <c r="A16" s="61" t="inlineStr">
        <is>
          <t>Enseigne A — Lorient</t>
        </is>
      </c>
      <c r="B16" s="62" t="inlineStr">
        <is>
          <t>Lorient (56100)</t>
        </is>
      </c>
      <c r="C16" s="63" t="inlineStr">
        <is>
          <t>Ville moyenne</t>
        </is>
      </c>
      <c r="D16" s="61" t="inlineStr">
        <is>
          <t>Franchise Enseigne A (idem Rennes)</t>
        </is>
      </c>
      <c r="E16" s="61" t="inlineStr">
        <is>
          <t>—</t>
        </is>
      </c>
      <c r="F16" s="62" t="inlineStr">
        <is>
          <t>~1h</t>
        </is>
      </c>
      <c r="G16" s="67" t="inlineStr">
        <is>
          <t>non publié</t>
        </is>
      </c>
      <c r="H16" s="62" t="inlineStr">
        <is>
          <t>salle jusqu'à 18 j</t>
        </is>
      </c>
      <c r="I16" s="67" t="inlineStr">
        <is>
          <t>Existence confirmée — prix non publié</t>
        </is>
      </c>
      <c r="J16" s="61" t="inlineStr">
        <is>
          <t>lorientbretagnesudtourisme.fr / mappy</t>
        </is>
      </c>
    </row>
    <row r="17" ht="27.75" customHeight="1" s="39">
      <c r="A17" s="61" t="inlineStr">
        <is>
          <t>Enseigne A — Saint-Brieuc</t>
        </is>
      </c>
      <c r="B17" s="62" t="inlineStr">
        <is>
          <t>Ploufragan (22)</t>
        </is>
      </c>
      <c r="C17" s="63" t="inlineStr">
        <is>
          <t>Ville moyenne</t>
        </is>
      </c>
      <c r="D17" s="61" t="inlineStr">
        <is>
          <t>Franchise Enseigne A (idem Rennes)</t>
        </is>
      </c>
      <c r="E17" s="61" t="inlineStr">
        <is>
          <t>—</t>
        </is>
      </c>
      <c r="F17" s="62" t="inlineStr">
        <is>
          <t>~1h</t>
        </is>
      </c>
      <c r="G17" s="67" t="inlineStr">
        <is>
          <t>non publié</t>
        </is>
      </c>
      <c r="H17" s="62" t="inlineStr">
        <is>
          <t>salle jusqu'à 18 j</t>
        </is>
      </c>
      <c r="I17" s="67" t="inlineStr">
        <is>
          <t>Existence confirmée — prix non publié</t>
        </is>
      </c>
      <c r="J17" s="61" t="inlineStr">
        <is>
          <t>quiz-room.com/reservation/saint-brieuc</t>
        </is>
      </c>
    </row>
    <row r="18" ht="27.75" customHeight="1" s="39">
      <c r="A18" s="61" t="inlineStr">
        <is>
          <t>Musi'Quiz Rennes</t>
        </is>
      </c>
      <c r="B18" s="62" t="inlineStr">
        <is>
          <t>Rennes (35)</t>
        </is>
      </c>
      <c r="C18" s="63" t="inlineStr">
        <is>
          <t>Grande ville</t>
        </is>
      </c>
      <c r="D18" s="61" t="inlineStr">
        <is>
          <t>Blind test immersif (décor plateau TV)</t>
        </is>
      </c>
      <c r="E18" s="61" t="inlineStr">
        <is>
          <t>—</t>
        </is>
      </c>
      <c r="F18" s="62" t="inlineStr">
        <is>
          <t>à vérifier</t>
        </is>
      </c>
      <c r="G18" s="67" t="inlineStr">
        <is>
          <t>non publié</t>
        </is>
      </c>
      <c r="H18" s="62" t="inlineStr">
        <is>
          <t>à vérifier</t>
        </is>
      </c>
      <c r="I18" s="67" t="inlineStr">
        <is>
          <t>Existence confirmée — prix non publié</t>
        </is>
      </c>
      <c r="J18" s="61" t="inlineStr">
        <is>
          <t>musiquizlejeu.fr</t>
        </is>
      </c>
    </row>
    <row r="19" ht="15" customHeight="1" s="39">
      <c r="A19" s="68" t="inlineStr">
        <is>
          <t>RURAL — TON OFFRE (référence)</t>
        </is>
      </c>
      <c r="B19" s="43" t="n"/>
      <c r="C19" s="43" t="n"/>
      <c r="D19" s="43" t="n"/>
      <c r="E19" s="43" t="n"/>
      <c r="F19" s="43" t="n"/>
      <c r="G19" s="43" t="n"/>
      <c r="H19" s="43" t="n"/>
      <c r="I19" s="43" t="n"/>
      <c r="J19" s="43" t="n"/>
    </row>
    <row r="20" ht="30" customHeight="1" s="39">
      <c r="A20" s="69" t="inlineStr">
        <is>
          <t>Le client — salle de quiz</t>
        </is>
      </c>
      <c r="B20" s="62" t="inlineStr">
        <is>
          <t>Crevin (35320)</t>
        </is>
      </c>
      <c r="C20" s="70" t="inlineStr">
        <is>
          <t>Rural</t>
        </is>
      </c>
      <c r="D20" s="61" t="inlineStr">
        <is>
          <t>Salle quiz 6 buzzers, décor plateau TV</t>
        </is>
      </c>
      <c r="E20" s="61" t="inlineStr">
        <is>
          <t>Session 9 manches</t>
        </is>
      </c>
      <c r="F20" s="62" t="inlineStr">
        <is>
          <t>~45 min</t>
        </is>
      </c>
      <c r="G20" s="53" t="n"/>
      <c r="H20" s="62" t="inlineStr">
        <is>
          <t>jusqu'à 12 j · min 4 · dès 8 ans</t>
        </is>
      </c>
      <c r="I20" s="71" t="inlineStr">
        <is>
          <t>À COMPLÉTER (ton tarif)</t>
        </is>
      </c>
      <c r="J20" s="61" t="inlineStr">
        <is>
          <t>kampus137.fr</t>
        </is>
      </c>
    </row>
    <row r="22" ht="15" customHeight="1" s="39">
      <c r="A22" s="72" t="inlineStr">
        <is>
          <t>Repères marché — sessions 1h (tarif plein adulte, données confirmées)</t>
        </is>
      </c>
      <c r="B22" s="43" t="n"/>
      <c r="C22" s="43" t="n"/>
      <c r="D22" s="43" t="n"/>
      <c r="E22" s="43" t="n"/>
      <c r="F22" s="73" t="inlineStr">
        <is>
          <t>G4 = Enseigne A 20 €  ·  G7 = Enseigne B 20 €  ·  G9 = Enseigne C HP 20 €</t>
        </is>
      </c>
      <c r="G22" s="43" t="n"/>
      <c r="H22" s="43" t="n"/>
      <c r="I22" s="43" t="n"/>
      <c r="J22" s="43" t="n"/>
    </row>
    <row r="23" ht="15" customHeight="1" s="39">
      <c r="A23" s="45" t="inlineStr">
        <is>
          <t>Prix plancher heure pleine (€)</t>
        </is>
      </c>
      <c r="B23" s="43" t="n"/>
      <c r="C23" s="43" t="n"/>
      <c r="D23" s="43" t="n"/>
      <c r="E23" s="43" t="n"/>
      <c r="F23" s="49">
        <f>MIN(G4,G7,G9)</f>
        <v/>
      </c>
      <c r="G23" s="38" t="n"/>
    </row>
    <row r="24" ht="15" customHeight="1" s="39">
      <c r="A24" s="45" t="inlineStr">
        <is>
          <t>Prix médian tarif plein (€)</t>
        </is>
      </c>
      <c r="B24" s="43" t="n"/>
      <c r="C24" s="43" t="n"/>
      <c r="D24" s="43" t="n"/>
      <c r="E24" s="43" t="n"/>
      <c r="F24" s="49">
        <f>MEDIAN(G4,G7,G9)</f>
        <v/>
      </c>
      <c r="G24" s="38" t="n"/>
    </row>
    <row r="25" ht="15" customHeight="1" s="39">
      <c r="A25" s="45" t="inlineStr">
        <is>
          <t>Prix max petit groupe 4-5 (€)</t>
        </is>
      </c>
      <c r="B25" s="43" t="n"/>
      <c r="C25" s="43" t="n"/>
      <c r="D25" s="43" t="n"/>
      <c r="E25" s="43" t="n"/>
      <c r="F25" s="49">
        <f>G5</f>
        <v/>
      </c>
      <c r="G25" s="38" t="n"/>
    </row>
    <row r="26" ht="15" customHeight="1" s="39">
      <c r="A26" s="45" t="inlineStr">
        <is>
          <t>Prix min toutes catégories (€, inclut HC/enfant)</t>
        </is>
      </c>
      <c r="B26" s="43" t="n"/>
      <c r="C26" s="43" t="n"/>
      <c r="D26" s="43" t="n"/>
      <c r="E26" s="43" t="n"/>
      <c r="F26" s="49">
        <f>MIN(G4:G14)</f>
        <v/>
      </c>
      <c r="G26" s="38" t="n"/>
    </row>
  </sheetData>
  <mergeCells count="15">
    <mergeCell ref="A1:J1"/>
    <mergeCell ref="A8:J8"/>
    <mergeCell ref="A26:E26"/>
    <mergeCell ref="A24:E24"/>
    <mergeCell ref="G23:J23"/>
    <mergeCell ref="G26:J26"/>
    <mergeCell ref="A25:E25"/>
    <mergeCell ref="F22:J22"/>
    <mergeCell ref="A15:J15"/>
    <mergeCell ref="G24:J24"/>
    <mergeCell ref="A23:E23"/>
    <mergeCell ref="A2:J2"/>
    <mergeCell ref="G25:J25"/>
    <mergeCell ref="A22:E22"/>
    <mergeCell ref="A19:J1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1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4" customWidth="1" style="38" min="1" max="1"/>
    <col width="20" customWidth="1" style="38" min="2" max="2"/>
    <col width="16" customWidth="1" style="38" min="3" max="3"/>
    <col width="26" customWidth="1" style="38" min="4" max="4"/>
    <col width="24" customWidth="1" style="38" min="5" max="5"/>
    <col width="18" customWidth="1" style="38" min="6" max="6"/>
    <col width="13" customWidth="1" style="38" min="7" max="7"/>
    <col width="22" customWidth="1" style="38" min="8" max="8"/>
    <col width="26" customWidth="1" style="38" min="9" max="9"/>
    <col width="30" customWidth="1" style="38" min="10" max="10"/>
  </cols>
  <sheetData>
    <row r="1" ht="24" customHeight="1" s="39">
      <c r="A1" s="58" t="inlineStr">
        <is>
          <t>BENCHMARK — SESSIONS DE QUIZ ~ 30 MINUTES  ·  relevé 25/06/2026</t>
        </is>
      </c>
    </row>
    <row r="2" ht="30" customHeight="1" s="39">
      <c r="A2" s="66" t="inlineStr">
        <is>
          <t>CONSTAT : aucune salle de quiz concurrente ne vend de session ~30 min dans la zone. Le standard du marché est 1h. (Rien n'est inventé : cases vides = pas d'offre.)</t>
        </is>
      </c>
      <c r="B2" s="43" t="n"/>
      <c r="C2" s="43" t="n"/>
      <c r="D2" s="43" t="n"/>
      <c r="E2" s="43" t="n"/>
      <c r="F2" s="43" t="n"/>
      <c r="G2" s="43" t="n"/>
      <c r="H2" s="43" t="n"/>
      <c r="I2" s="43" t="n"/>
      <c r="J2" s="43" t="n"/>
    </row>
    <row r="3" ht="30" customHeight="1" s="39">
      <c r="A3" s="60" t="inlineStr">
        <is>
          <t>Enseigne</t>
        </is>
      </c>
      <c r="B3" s="60" t="inlineStr">
        <is>
          <t>Ville (CP)</t>
        </is>
      </c>
      <c r="C3" s="60" t="inlineStr">
        <is>
          <t>Zone</t>
        </is>
      </c>
      <c r="D3" s="60" t="inlineStr">
        <is>
          <t>Concept / format</t>
        </is>
      </c>
      <c r="E3" s="60" t="inlineStr">
        <is>
          <t>Public ou créneau</t>
        </is>
      </c>
      <c r="F3" s="60" t="inlineStr">
        <is>
          <t>Durée session</t>
        </is>
      </c>
      <c r="G3" s="60" t="inlineStr">
        <is>
          <t>Prix / pers (€)</t>
        </is>
      </c>
      <c r="H3" s="60" t="inlineStr">
        <is>
          <t>Capacité &amp; âge</t>
        </is>
      </c>
      <c r="I3" s="60" t="inlineStr">
        <is>
          <t>Fiabilité</t>
        </is>
      </c>
      <c r="J3" s="60" t="inlineStr">
        <is>
          <t>Source</t>
        </is>
      </c>
    </row>
    <row r="4" ht="30" customHeight="1" s="39">
      <c r="A4" s="69" t="inlineStr">
        <is>
          <t>Le client — salle de quiz</t>
        </is>
      </c>
      <c r="B4" s="62" t="inlineStr">
        <is>
          <t>Crevin (35320)</t>
        </is>
      </c>
      <c r="C4" s="70" t="inlineStr">
        <is>
          <t>Rural</t>
        </is>
      </c>
      <c r="D4" s="61" t="inlineStr">
        <is>
          <t>Salle quiz 6 buzzers</t>
        </is>
      </c>
      <c r="E4" s="61" t="inlineStr">
        <is>
          <t>Session 4 manches</t>
        </is>
      </c>
      <c r="F4" s="62" t="inlineStr">
        <is>
          <t>~25 min</t>
        </is>
      </c>
      <c r="G4" s="53" t="n"/>
      <c r="H4" s="62" t="inlineStr">
        <is>
          <t>jusqu'à 12 j · min 4 · dès 8 ans</t>
        </is>
      </c>
      <c r="I4" s="71" t="inlineStr">
        <is>
          <t>À COMPLÉTER (ton tarif)</t>
        </is>
      </c>
      <c r="J4" s="61" t="inlineStr">
        <is>
          <t>kampus137.fr</t>
        </is>
      </c>
    </row>
    <row r="5" ht="25.5" customHeight="1" s="39">
      <c r="A5" s="51" t="inlineStr">
        <is>
          <t>Enseigne A (Rennes/Lorient/St-Brieuc)</t>
        </is>
      </c>
      <c r="B5" s="74" t="inlineStr">
        <is>
          <t>—</t>
        </is>
      </c>
      <c r="C5" s="74" t="inlineStr">
        <is>
          <t>—</t>
        </is>
      </c>
      <c r="D5" s="51" t="inlineStr">
        <is>
          <t>Salle quiz buzzer</t>
        </is>
      </c>
      <c r="E5" s="51" t="inlineStr">
        <is>
          <t>Pas de format 30 min</t>
        </is>
      </c>
      <c r="F5" s="74" t="inlineStr">
        <is>
          <t>1h uniquement</t>
        </is>
      </c>
      <c r="G5" s="75" t="inlineStr">
        <is>
          <t>n/a</t>
        </is>
      </c>
      <c r="H5" s="74" t="inlineStr">
        <is>
          <t>—</t>
        </is>
      </c>
      <c r="I5" s="75" t="inlineStr">
        <is>
          <t>Aucune offre 30 min</t>
        </is>
      </c>
      <c r="J5" s="51" t="inlineStr">
        <is>
          <t>sites officiels</t>
        </is>
      </c>
    </row>
    <row r="6" ht="25.5" customHeight="1" s="39">
      <c r="A6" s="51" t="inlineStr">
        <is>
          <t>Enseigne B</t>
        </is>
      </c>
      <c r="B6" s="74" t="inlineStr">
        <is>
          <t>—</t>
        </is>
      </c>
      <c r="C6" s="74" t="inlineStr">
        <is>
          <t>—</t>
        </is>
      </c>
      <c r="D6" s="51" t="inlineStr">
        <is>
          <t>Salle quiz buzzer</t>
        </is>
      </c>
      <c r="E6" s="51" t="inlineStr">
        <is>
          <t>Pas de format 30 min</t>
        </is>
      </c>
      <c r="F6" s="74" t="inlineStr">
        <is>
          <t>1h uniquement</t>
        </is>
      </c>
      <c r="G6" s="75" t="inlineStr">
        <is>
          <t>n/a</t>
        </is>
      </c>
      <c r="H6" s="74" t="inlineStr">
        <is>
          <t>—</t>
        </is>
      </c>
      <c r="I6" s="75" t="inlineStr">
        <is>
          <t>Aucune offre 30 min</t>
        </is>
      </c>
      <c r="J6" s="51" t="inlineStr">
        <is>
          <t>sites officiels</t>
        </is>
      </c>
    </row>
    <row r="7" ht="25.5" customHeight="1" s="39">
      <c r="A7" s="51" t="inlineStr">
        <is>
          <t>Enseigne C</t>
        </is>
      </c>
      <c r="B7" s="74" t="inlineStr">
        <is>
          <t>—</t>
        </is>
      </c>
      <c r="C7" s="74" t="inlineStr">
        <is>
          <t>—</t>
        </is>
      </c>
      <c r="D7" s="51" t="inlineStr">
        <is>
          <t>Salle quiz buzzer</t>
        </is>
      </c>
      <c r="E7" s="51" t="inlineStr">
        <is>
          <t>Pas de format 30 min</t>
        </is>
      </c>
      <c r="F7" s="74" t="inlineStr">
        <is>
          <t>1h uniquement</t>
        </is>
      </c>
      <c r="G7" s="75" t="inlineStr">
        <is>
          <t>n/a</t>
        </is>
      </c>
      <c r="H7" s="74" t="inlineStr">
        <is>
          <t>—</t>
        </is>
      </c>
      <c r="I7" s="75" t="inlineStr">
        <is>
          <t>Aucune offre 30 min</t>
        </is>
      </c>
      <c r="J7" s="51" t="inlineStr">
        <is>
          <t>sites officiels</t>
        </is>
      </c>
    </row>
    <row r="9" ht="15" customHeight="1" s="39">
      <c r="A9" s="72" t="inlineStr">
        <is>
          <t>Repère ADJACENT (hors quiz, pour ordre de grandeur d'un format court) :</t>
        </is>
      </c>
      <c r="B9" s="43" t="n"/>
      <c r="C9" s="43" t="n"/>
      <c r="D9" s="43" t="n"/>
      <c r="E9" s="43" t="n"/>
      <c r="F9" s="43" t="n"/>
      <c r="G9" s="43" t="n"/>
      <c r="H9" s="43" t="n"/>
      <c r="I9" s="43" t="n"/>
      <c r="J9" s="43" t="n"/>
    </row>
    <row r="10" ht="27.75" customHeight="1" s="39">
      <c r="A10" s="51" t="inlineStr">
        <is>
          <t>Enseigne B — Escape Game</t>
        </is>
      </c>
      <c r="B10" s="74" t="inlineStr">
        <is>
          <t>Rennes (35000)</t>
        </is>
      </c>
      <c r="C10" s="76" t="inlineStr">
        <is>
          <t>Grande ville</t>
        </is>
      </c>
      <c r="D10" s="51" t="inlineStr">
        <is>
          <t>Escape game (PAS un quiz)</t>
        </is>
      </c>
      <c r="E10" s="51" t="inlineStr">
        <is>
          <t>Format court</t>
        </is>
      </c>
      <c r="F10" s="74" t="inlineStr">
        <is>
          <t>30 min</t>
        </is>
      </c>
      <c r="G10" s="77" t="n">
        <v>13</v>
      </c>
      <c r="H10" s="74" t="inlineStr">
        <is>
          <t>à partir de</t>
        </is>
      </c>
      <c r="I10" s="74" t="inlineStr">
        <is>
          <t>Confirmé — hors périmètre quiz</t>
        </is>
      </c>
      <c r="J10" s="51" t="inlineStr">
        <is>
          <t>[site officiel de l'enseigne]/tarifs</t>
        </is>
      </c>
    </row>
    <row r="12" ht="15" customHeight="1" s="39">
      <c r="A12" s="55" t="inlineStr">
        <is>
          <t>Conséquence stratégique : ton format 30 min n'a pas de référence de prix externe — tu ne peux pas être jugé « trop cher » sur ce créneau puisque personne d'autre ne le propose. C'est plutôt un argument de différenciation (format court, accessible, idéal en combiné avec une autre activité du parc ou sur un créneau famille court) qu'un sujet de prix.</t>
        </is>
      </c>
      <c r="B12" s="56" t="n"/>
      <c r="C12" s="56" t="n"/>
      <c r="D12" s="56" t="n"/>
      <c r="E12" s="56" t="n"/>
      <c r="F12" s="56" t="n"/>
      <c r="G12" s="56" t="n"/>
      <c r="H12" s="56" t="n"/>
      <c r="I12" s="56" t="n"/>
      <c r="J12" s="56" t="n"/>
    </row>
    <row r="13" ht="15" customHeight="1" s="39">
      <c r="A13" s="57" t="n"/>
    </row>
    <row r="14" ht="15" customHeight="1" s="39">
      <c r="A14" s="57" t="n"/>
    </row>
  </sheetData>
  <mergeCells count="4">
    <mergeCell ref="A12:J14"/>
    <mergeCell ref="A1:J1"/>
    <mergeCell ref="A9:J9"/>
    <mergeCell ref="A2:J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2:D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 customWidth="1" style="38" min="1" max="1"/>
    <col width="34" customWidth="1" style="38" min="2" max="2"/>
    <col width="30" customWidth="1" style="38" min="3" max="3"/>
    <col width="62" customWidth="1" style="38" min="4" max="4"/>
  </cols>
  <sheetData>
    <row r="2" ht="21.75" customHeight="1" s="39">
      <c r="B2" s="58" t="inlineStr">
        <is>
          <t>SOURCES &amp; MÉTHODE</t>
        </is>
      </c>
    </row>
    <row r="4" ht="15" customHeight="1" s="39">
      <c r="B4" s="60" t="inlineStr">
        <is>
          <t>Enseigne / donnée</t>
        </is>
      </c>
      <c r="C4" s="60" t="inlineStr">
        <is>
          <t>Type de source</t>
        </is>
      </c>
      <c r="D4" s="60" t="inlineStr">
        <is>
          <t>URL</t>
        </is>
      </c>
    </row>
    <row r="5" ht="25.5" customHeight="1" s="39">
      <c r="B5" s="61" t="inlineStr">
        <is>
          <t>Enseigne A — Rennes — tarifs &amp; durée</t>
        </is>
      </c>
      <c r="C5" s="61" t="inlineStr">
        <is>
          <t>Office de Tourisme de Rennes</t>
        </is>
      </c>
      <c r="D5" s="78" t="inlineStr">
        <is>
          <t>[URL vérifiée, source publique]</t>
        </is>
      </c>
    </row>
    <row r="6" ht="25.5" customHeight="1" s="39">
      <c r="B6" s="61" t="inlineStr">
        <is>
          <t>Enseigne A — Rennes — prix (20 €/24 €)</t>
        </is>
      </c>
      <c r="C6" s="61" t="inlineStr">
        <is>
          <t>Funbooker (plateforme résa)</t>
        </is>
      </c>
      <c r="D6" s="78" t="inlineStr">
        <is>
          <t>[URL vérifiée, source publique]</t>
        </is>
      </c>
    </row>
    <row r="7" ht="25.5" customHeight="1" s="39">
      <c r="B7" s="61" t="inlineStr">
        <is>
          <t>Enseigne B — tarif 20 €/1h</t>
        </is>
      </c>
      <c r="C7" s="61" t="inlineStr">
        <is>
          <t>Site officiel Enseigne B</t>
        </is>
      </c>
      <c r="D7" s="78" t="inlineStr">
        <is>
          <t>[URL vérifiée, source publique] officiel de l'enseigne]/tarifs/</t>
        </is>
      </c>
    </row>
    <row r="8" ht="25.5" customHeight="1" s="39">
      <c r="B8" s="61" t="inlineStr">
        <is>
          <t>Enseigne B — durée 1h</t>
        </is>
      </c>
      <c r="C8" s="61" t="inlineStr">
        <is>
          <t>Site officiel Enseigne B</t>
        </is>
      </c>
      <c r="D8" s="78" t="inlineStr">
        <is>
          <t>[URL vérifiée, source publique] officiel de l'enseigne]/buzz-andquiz-game/</t>
        </is>
      </c>
    </row>
    <row r="9" ht="25.5" customHeight="1" s="39">
      <c r="B9" s="61" t="inlineStr">
        <is>
          <t>Enseigne C Vannes — grille HP/HC</t>
        </is>
      </c>
      <c r="C9" s="61" t="inlineStr">
        <is>
          <t>Site officiel Enseigne C</t>
        </is>
      </c>
      <c r="D9" s="78" t="inlineStr">
        <is>
          <t>[URL vérifiée, source publique]</t>
        </is>
      </c>
    </row>
    <row r="10" ht="25.5" customHeight="1" s="39">
      <c r="B10" s="61" t="inlineStr">
        <is>
          <t>Enseigne A — Lorient — existence</t>
        </is>
      </c>
      <c r="C10" s="61" t="inlineStr">
        <is>
          <t>Office tourisme Lorient / Mappy</t>
        </is>
      </c>
      <c r="D10" s="78" t="inlineStr">
        <is>
          <t>[URL vérifiée, source publique]</t>
        </is>
      </c>
    </row>
    <row r="11" ht="25.5" customHeight="1" s="39">
      <c r="B11" s="61" t="inlineStr">
        <is>
          <t>Enseigne A — Saint-Brieuc — existence</t>
        </is>
      </c>
      <c r="C11" s="61" t="inlineStr">
        <is>
          <t>Site officiel Enseigne A</t>
        </is>
      </c>
      <c r="D11" s="78" t="inlineStr">
        <is>
          <t>[URL vérifiée, source publique]</t>
        </is>
      </c>
    </row>
    <row r="12" ht="25.5" customHeight="1" s="39">
      <c r="B12" s="61" t="inlineStr">
        <is>
          <t>Musi'Quiz Rennes — existence</t>
        </is>
      </c>
      <c r="C12" s="61" t="inlineStr">
        <is>
          <t>Site officiel Musi'Quiz</t>
        </is>
      </c>
      <c r="D12" s="78" t="inlineStr">
        <is>
          <t>[URL vérifiée, source publique]</t>
        </is>
      </c>
    </row>
    <row r="13" ht="25.5" customHeight="1" s="39">
      <c r="B13" s="61" t="inlineStr">
        <is>
          <t>Le client — salle de quiz (format/durée)</t>
        </is>
      </c>
      <c r="C13" s="61" t="inlineStr">
        <is>
          <t>Site officiel Le client</t>
        </is>
      </c>
      <c r="D13" s="78" t="inlineStr">
        <is>
          <t>[URL vérifiée, source publique]</t>
        </is>
      </c>
    </row>
    <row r="14" ht="25.5" customHeight="1" s="39">
      <c r="B14" s="61" t="inlineStr">
        <is>
          <t>New Jump La Mézière — EXCLU (pas de quiz)</t>
        </is>
      </c>
      <c r="C14" s="61" t="inlineStr">
        <is>
          <t>Site officiel New Jump</t>
        </is>
      </c>
      <c r="D14" s="78" t="inlineStr">
        <is>
          <t>[URL vérifiée, source publique]</t>
        </is>
      </c>
    </row>
    <row r="16" ht="15" customHeight="1" s="39">
      <c r="B16" s="42" t="inlineStr">
        <is>
          <t>Méthode &amp; limites</t>
        </is>
      </c>
      <c r="C16" s="43" t="n"/>
      <c r="D16" s="43" t="n"/>
    </row>
    <row r="17" ht="25.5" customHeight="1" s="39">
      <c r="B17" s="45" t="inlineStr">
        <is>
          <t>•  Périmètre : salles de quiz / buzzer (comparables directs de la salle de quiz du client). Exclus : quiz de bar, blind tests animés, pub quizzes.</t>
        </is>
      </c>
      <c r="C17" s="43" t="n"/>
      <c r="D17" s="43" t="n"/>
    </row>
    <row r="18" ht="25.5" customHeight="1" s="39">
      <c r="B18" s="45" t="inlineStr">
        <is>
          <t>•  Zone : Bretagne, en priorité autour de Crevin. Aucune ville hors région (pas de Paris/Marseille).</t>
        </is>
      </c>
      <c r="C18" s="43" t="n"/>
      <c r="D18" s="43" t="n"/>
    </row>
    <row r="19" ht="25.5" customHeight="1" s="39">
      <c r="B19" s="45" t="inlineStr">
        <is>
          <t>•  Tous les prix sont relevés sur sources publiques le 25/06/2026, par personne et par session, TTC.</t>
        </is>
      </c>
      <c r="C19" s="43" t="n"/>
      <c r="D19" s="43" t="n"/>
    </row>
    <row r="20" ht="25.5" customHeight="1" s="39">
      <c r="B20" s="45" t="inlineStr">
        <is>
          <t>•  Aucun prix n'a été inventé. Les offres sans tarif public sont marquées « non publié » et non chiffrées.</t>
        </is>
      </c>
      <c r="C20" s="43" t="n"/>
      <c r="D20" s="43" t="n"/>
    </row>
    <row r="21" ht="25.5" customHeight="1" s="39">
      <c r="B21" s="45" t="inlineStr">
        <is>
          <t>•  Limite franchise : Enseigne A applique un concept identique entre villes, mais seul le prix de Rennes est confirmé par source. Les autres ne sont pas chiffrés.</t>
        </is>
      </c>
      <c r="C21" s="43" t="n"/>
      <c r="D21" s="43" t="n"/>
    </row>
    <row r="22" ht="25.5" customHeight="1" s="39">
      <c r="B22" s="45" t="inlineStr">
        <is>
          <t>•  Le tarif de la salle de quiz du client est affiché en image (non lisible automatiquement) : cases à compléter manuellement.</t>
        </is>
      </c>
      <c r="C22" s="43" t="n"/>
      <c r="D22" s="43" t="n"/>
    </row>
    <row r="23" ht="25.5" customHeight="1" s="39">
      <c r="B23" s="45" t="inlineStr">
        <is>
          <t>•  New Jump (La Mézière) écarté : le « buzzer » y est l'arrivée d'un parcours ninja, pas un quiz.</t>
        </is>
      </c>
      <c r="C23" s="43" t="n"/>
      <c r="D23" s="43" t="n"/>
    </row>
  </sheetData>
  <mergeCells count="9">
    <mergeCell ref="B19:D19"/>
    <mergeCell ref="B23:D23"/>
    <mergeCell ref="B22:D22"/>
    <mergeCell ref="B17:D17"/>
    <mergeCell ref="B18:D18"/>
    <mergeCell ref="B16:D16"/>
    <mergeCell ref="B21:D21"/>
    <mergeCell ref="B2:D2"/>
    <mergeCell ref="B20:D20"/>
  </mergeCells>
  <hyperlinks>
    <hyperlink xmlns:r="http://schemas.openxmlformats.org/officeDocument/2006/relationships" ref="D5" display="https://www.tourisme-rennes.com/decouvrir-rennes/insolite/quiz-room/" r:id="rId1"/>
    <hyperlink xmlns:r="http://schemas.openxmlformats.org/officeDocument/2006/relationships" ref="D6" display="https://www.funbooker.com/fr/presentation/quiz-room-rennes/funpro" r:id="rId2"/>
    <hyperlink xmlns:r="http://schemas.openxmlformats.org/officeDocument/2006/relationships" ref="D7" display="https://brain-rennes.fr/tarifs/" r:id="rId3"/>
    <hyperlink xmlns:r="http://schemas.openxmlformats.org/officeDocument/2006/relationships" ref="D8" display="https://brain-rennes.fr/buzz-andquiz-game/" r:id="rId4"/>
    <hyperlink xmlns:r="http://schemas.openxmlformats.org/officeDocument/2006/relationships" ref="D9" display="https://buzzparty.fr/reserver/" r:id="rId5"/>
    <hyperlink xmlns:r="http://schemas.openxmlformats.org/officeDocument/2006/relationships" ref="D10" display="https://www.lorientbretagnesudtourisme.fr/fr/fiche/quiz-room-lorient_TFOVQUIZROOM/" r:id="rId6"/>
    <hyperlink xmlns:r="http://schemas.openxmlformats.org/officeDocument/2006/relationships" ref="D11" display="https://www.quiz-room.com/en/reservation/saint-brieuc" r:id="rId7"/>
    <hyperlink xmlns:r="http://schemas.openxmlformats.org/officeDocument/2006/relationships" ref="D12" display="https://musiquizlejeu.fr/en/nos-centres-rennes/" r:id="rId8"/>
    <hyperlink xmlns:r="http://schemas.openxmlformats.org/officeDocument/2006/relationships" ref="D13" display="https://kampus137.fr/activite/espace-kwizz/" r:id="rId9"/>
    <hyperlink xmlns:r="http://schemas.openxmlformats.org/officeDocument/2006/relationships" ref="D14" display="https://www.newjump.com/tarifs/" r:id="rId1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2026-06-25T16:11:23Z</dcterms:created>
  <dcterms:modified xmlns:dcterms="http://purl.org/dc/terms/" xmlns:xsi="http://www.w3.org/2001/XMLSchema-instance" xsi:type="dcterms:W3CDTF">2026-09-10T13:01:08Z</dcterms:modified>
  <cp:revision>0</cp:revision>
</cp:coreProperties>
</file>